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strategy\260319_S0_iteration\"/>
    </mc:Choice>
  </mc:AlternateContent>
  <xr:revisionPtr revIDLastSave="0" documentId="13_ncr:1_{03ADBE39-6BCE-4FF8-B3A0-617317FEC4BA}" xr6:coauthVersionLast="47" xr6:coauthVersionMax="47" xr10:uidLastSave="{00000000-0000-0000-0000-000000000000}"/>
  <bookViews>
    <workbookView xWindow="-30852" yWindow="-11592" windowWidth="30984" windowHeight="16824" xr2:uid="{950BBEC7-E44D-4891-9EC0-B02869FBE4D5}"/>
  </bookViews>
  <sheets>
    <sheet name="calculation" sheetId="2" r:id="rId1"/>
    <sheet name="data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2" l="1"/>
  <c r="G13" i="2" s="1"/>
  <c r="D25" i="2"/>
  <c r="D23" i="2"/>
  <c r="D22" i="2"/>
  <c r="D21" i="2"/>
  <c r="C25" i="2"/>
  <c r="C24" i="2"/>
  <c r="C23" i="2"/>
  <c r="C22" i="2"/>
  <c r="C21" i="2"/>
  <c r="G7" i="2"/>
  <c r="H7" i="2"/>
  <c r="G8" i="2"/>
  <c r="H8" i="2"/>
  <c r="H9" i="2"/>
  <c r="H10" i="2"/>
  <c r="H11" i="2"/>
  <c r="G9" i="2"/>
  <c r="G10" i="2"/>
  <c r="G11" i="2"/>
  <c r="G17" i="2" l="1"/>
  <c r="H14" i="2"/>
  <c r="G16" i="2"/>
  <c r="H17" i="2"/>
  <c r="H16" i="2"/>
  <c r="G14" i="2"/>
  <c r="H15" i="2"/>
  <c r="H13" i="2"/>
  <c r="G15" i="2"/>
</calcChain>
</file>

<file path=xl/sharedStrings.xml><?xml version="1.0" encoding="utf-8"?>
<sst xmlns="http://schemas.openxmlformats.org/spreadsheetml/2006/main" count="345" uniqueCount="69">
  <si>
    <t>action_tag_new_label</t>
  </si>
  <si>
    <t>col_bin</t>
  </si>
  <si>
    <t>action_tag_new</t>
  </si>
  <si>
    <t>owing_principal</t>
  </si>
  <si>
    <t>overdue_rate</t>
  </si>
  <si>
    <t>dpd30</t>
  </si>
  <si>
    <t>预测</t>
  </si>
  <si>
    <t>A1</t>
  </si>
  <si>
    <t>2AI_1预测</t>
  </si>
  <si>
    <t>人工</t>
  </si>
  <si>
    <t>2AI_1人工</t>
  </si>
  <si>
    <t>2AI_1预测_1人工</t>
  </si>
  <si>
    <t>1AI_1预测</t>
  </si>
  <si>
    <t>AI</t>
  </si>
  <si>
    <t>3AI</t>
  </si>
  <si>
    <t>1AI_2预测</t>
  </si>
  <si>
    <t>1AI</t>
  </si>
  <si>
    <t>4AI</t>
  </si>
  <si>
    <t>3AI_1预测</t>
  </si>
  <si>
    <t>2AI</t>
  </si>
  <si>
    <t>2AI_2预测</t>
  </si>
  <si>
    <t>1预测</t>
  </si>
  <si>
    <t>2预测</t>
  </si>
  <si>
    <t>A2</t>
  </si>
  <si>
    <t>A3</t>
  </si>
  <si>
    <t>2AI_2人工</t>
  </si>
  <si>
    <t>A4</t>
  </si>
  <si>
    <t>A5</t>
  </si>
  <si>
    <t>25/02/15-26/02/15</t>
    <phoneticPr fontId="3" type="noConversion"/>
  </si>
  <si>
    <t>数据范围：</t>
    <phoneticPr fontId="3" type="noConversion"/>
  </si>
  <si>
    <t>时间</t>
    <phoneticPr fontId="3" type="noConversion"/>
  </si>
  <si>
    <t>客群</t>
    <phoneticPr fontId="3" type="noConversion"/>
  </si>
  <si>
    <t>老客</t>
    <phoneticPr fontId="3" type="noConversion"/>
  </si>
  <si>
    <t>策略框架：</t>
    <phoneticPr fontId="3" type="noConversion"/>
  </si>
  <si>
    <t>不催</t>
    <phoneticPr fontId="3" type="noConversion"/>
  </si>
  <si>
    <t>纯AI</t>
    <phoneticPr fontId="3" type="noConversion"/>
  </si>
  <si>
    <t>人工参与</t>
    <phoneticPr fontId="3" type="noConversion"/>
  </si>
  <si>
    <t>行标签</t>
  </si>
  <si>
    <t>总计</t>
  </si>
  <si>
    <t>求和项:owing_principal</t>
  </si>
  <si>
    <t>A1-A2
占57%</t>
    <phoneticPr fontId="3" type="noConversion"/>
  </si>
  <si>
    <t>A3-A5
占43%</t>
    <phoneticPr fontId="3" type="noConversion"/>
  </si>
  <si>
    <t>dpd30</t>
    <phoneticPr fontId="3" type="noConversion"/>
  </si>
  <si>
    <t>复贷</t>
    <phoneticPr fontId="3" type="noConversion"/>
  </si>
  <si>
    <t>*辅助数据：</t>
    <phoneticPr fontId="3" type="noConversion"/>
  </si>
  <si>
    <t>A1</t>
    <phoneticPr fontId="3" type="noConversion"/>
  </si>
  <si>
    <t>A2</t>
    <phoneticPr fontId="3" type="noConversion"/>
  </si>
  <si>
    <t>A3</t>
    <phoneticPr fontId="3" type="noConversion"/>
  </si>
  <si>
    <t>A4</t>
    <phoneticPr fontId="3" type="noConversion"/>
  </si>
  <si>
    <t>A5</t>
    <phoneticPr fontId="3" type="noConversion"/>
  </si>
  <si>
    <t>求和项:overdue_rate</t>
  </si>
  <si>
    <t>求和项:dpd30</t>
  </si>
  <si>
    <t>S0人力</t>
    <phoneticPr fontId="3" type="noConversion"/>
  </si>
  <si>
    <t>S1人力</t>
    <phoneticPr fontId="3" type="noConversion"/>
  </si>
  <si>
    <t>2AI-1预测</t>
    <phoneticPr fontId="3" type="noConversion"/>
  </si>
  <si>
    <t>1预测</t>
    <phoneticPr fontId="3" type="noConversion"/>
  </si>
  <si>
    <t>2AI-1预测-1人工</t>
    <phoneticPr fontId="3" type="noConversion"/>
  </si>
  <si>
    <t>1AI</t>
    <phoneticPr fontId="3" type="noConversion"/>
  </si>
  <si>
    <t>3AI</t>
    <phoneticPr fontId="3" type="noConversion"/>
  </si>
  <si>
    <t>组</t>
    <phoneticPr fontId="3" type="noConversion"/>
  </si>
  <si>
    <t>行动</t>
    <phoneticPr fontId="3" type="noConversion"/>
  </si>
  <si>
    <t>灰度</t>
    <phoneticPr fontId="3" type="noConversion"/>
  </si>
  <si>
    <t>本金</t>
    <phoneticPr fontId="3" type="noConversion"/>
  </si>
  <si>
    <t>逾期率</t>
    <phoneticPr fontId="3" type="noConversion"/>
  </si>
  <si>
    <t>本金占比</t>
    <phoneticPr fontId="3" type="noConversion"/>
  </si>
  <si>
    <t>reloan_rate</t>
  </si>
  <si>
    <t>求和项:reloan_rate</t>
  </si>
  <si>
    <t>dpd5</t>
  </si>
  <si>
    <t>求和项:dpd5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</si>
</sst>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%"/>
    <numFmt numFmtId="196" formatCode="0_);[Red]\(0\)"/>
  </numFmts>
  <fonts count="4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80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0" xfId="0" applyNumberFormat="1">
      <alignment vertical="center"/>
    </xf>
    <xf numFmtId="180" fontId="0" fillId="0" borderId="3" xfId="0" applyNumberFormat="1" applyBorder="1">
      <alignment vertical="center"/>
    </xf>
    <xf numFmtId="180" fontId="0" fillId="0" borderId="4" xfId="0" applyNumberFormat="1" applyBorder="1">
      <alignment vertical="center"/>
    </xf>
    <xf numFmtId="180" fontId="0" fillId="0" borderId="5" xfId="0" applyNumberFormat="1" applyBorder="1">
      <alignment vertical="center"/>
    </xf>
    <xf numFmtId="0" fontId="2" fillId="0" borderId="0" xfId="0" applyFont="1">
      <alignment vertical="center"/>
    </xf>
    <xf numFmtId="180" fontId="0" fillId="0" borderId="0" xfId="0" pivotButton="1" applyNumberFormat="1">
      <alignment vertical="center"/>
    </xf>
    <xf numFmtId="180" fontId="0" fillId="0" borderId="0" xfId="0" applyNumberFormat="1" applyAlignment="1">
      <alignment horizontal="left" vertical="center"/>
    </xf>
    <xf numFmtId="180" fontId="0" fillId="0" borderId="0" xfId="0" applyNumberFormat="1" applyAlignment="1">
      <alignment horizontal="left" vertical="center" indent="1"/>
    </xf>
    <xf numFmtId="196" fontId="0" fillId="0" borderId="0" xfId="0" applyNumberFormat="1">
      <alignment vertical="center"/>
    </xf>
    <xf numFmtId="180" fontId="2" fillId="0" borderId="1" xfId="0" applyNumberFormat="1" applyFont="1" applyBorder="1" applyAlignment="1">
      <alignment horizontal="left" vertical="center"/>
    </xf>
    <xf numFmtId="196" fontId="2" fillId="0" borderId="1" xfId="0" applyNumberFormat="1" applyFont="1" applyBorder="1">
      <alignment vertical="center"/>
    </xf>
    <xf numFmtId="180" fontId="2" fillId="0" borderId="1" xfId="0" applyNumberFormat="1" applyFont="1" applyBorder="1">
      <alignment vertical="center"/>
    </xf>
    <xf numFmtId="180" fontId="0" fillId="0" borderId="0" xfId="1" applyNumberFormat="1" applyFont="1" applyAlignment="1">
      <alignment horizontal="center" vertical="center"/>
    </xf>
    <xf numFmtId="180" fontId="0" fillId="2" borderId="0" xfId="1" applyNumberFormat="1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63"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80" formatCode="0.0%"/>
    </dxf>
    <dxf>
      <numFmt numFmtId="196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张昀天" refreshedDate="46104.581912384259" createdVersion="7" refreshedVersion="7" minRefreshableVersion="3" recordCount="65" xr:uid="{E698E737-38C1-4552-BDF3-43ED4DD17495}">
  <cacheSource type="worksheet">
    <worksheetSource ref="A1:H66" sheet="data"/>
  </cacheSource>
  <cacheFields count="8">
    <cacheField name="action_tag_new_label" numFmtId="0">
      <sharedItems/>
    </cacheField>
    <cacheField name="col_bin" numFmtId="0">
      <sharedItems count="5">
        <s v="A4"/>
        <s v="A5"/>
        <s v="A3"/>
        <s v="A2"/>
        <s v="A1"/>
      </sharedItems>
    </cacheField>
    <cacheField name="action_tag_new" numFmtId="0">
      <sharedItems count="14">
        <s v="2AI_1预测_1人工"/>
        <s v="1预测"/>
        <s v="3AI_1预测"/>
        <s v="4AI"/>
        <s v="2AI"/>
        <s v="2AI_1预测"/>
        <s v="2AI_1人工"/>
        <s v="2AI_2预测"/>
        <s v="2预测"/>
        <s v="1AI_1预测"/>
        <s v="3AI"/>
        <s v="1AI_2预测"/>
        <s v="1AI"/>
        <s v="2AI_2人工"/>
      </sharedItems>
    </cacheField>
    <cacheField name="owing_principal" numFmtId="0">
      <sharedItems containsSemiMixedTypes="0" containsString="0" containsNumber="1" minValue="3943107" maxValue="3345902922.3400002"/>
    </cacheField>
    <cacheField name="overdue_rate" numFmtId="0">
      <sharedItems containsSemiMixedTypes="0" containsString="0" containsNumber="1" minValue="4.1404423084306701E-3" maxValue="0.405966114692699"/>
    </cacheField>
    <cacheField name="dpd5" numFmtId="0">
      <sharedItems containsSemiMixedTypes="0" containsString="0" containsNumber="1" minValue="4.3168917967685799E-4" maxValue="0.17038986043544699"/>
    </cacheField>
    <cacheField name="dpd30" numFmtId="0">
      <sharedItems containsSemiMixedTypes="0" containsString="0" containsNumber="1" minValue="3.0471925319457398E-4" maxValue="0.106725663221638"/>
    </cacheField>
    <cacheField name="reloan_rate" numFmtId="0">
      <sharedItems containsSemiMixedTypes="0" containsString="0" containsNumber="1" minValue="0.28090500776560401" maxValue="0.53882725832012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人工"/>
    <x v="0"/>
    <x v="0"/>
    <n v="1143376146.8499999"/>
    <n v="0.19535252319664001"/>
    <n v="7.5743759705493893E-2"/>
    <n v="5.5778884180593999E-2"/>
    <n v="0.49462404715556602"/>
  </r>
  <r>
    <s v="预测"/>
    <x v="1"/>
    <x v="1"/>
    <n v="20795241.670000002"/>
    <n v="0.33725673648302401"/>
    <n v="0.118937850266397"/>
    <n v="7.9782594803573595E-2"/>
    <n v="0.41392077008515299"/>
  </r>
  <r>
    <s v="人工"/>
    <x v="1"/>
    <x v="0"/>
    <n v="796351547.85000002"/>
    <n v="0.38012605919743703"/>
    <n v="0.155504531892145"/>
    <n v="9.8507995409555196E-2"/>
    <n v="0.39146985550572899"/>
  </r>
  <r>
    <s v="人工"/>
    <x v="2"/>
    <x v="0"/>
    <n v="1565460926.01"/>
    <n v="0.12667759960987501"/>
    <n v="5.1353220648502097E-2"/>
    <n v="3.8882955574715598E-2"/>
    <n v="0.51405285708670101"/>
  </r>
  <r>
    <s v="人工"/>
    <x v="3"/>
    <x v="0"/>
    <n v="1681657010.5899999"/>
    <n v="8.7031719011863906E-2"/>
    <n v="3.5662307326842599E-2"/>
    <n v="2.73743496861165E-2"/>
    <n v="0.51484020928919105"/>
  </r>
  <r>
    <s v="预测"/>
    <x v="1"/>
    <x v="2"/>
    <n v="482097033.67000002"/>
    <n v="0.387480466116845"/>
    <n v="0.15317520570049301"/>
    <n v="9.5711422467670199E-2"/>
    <n v="0.389001447178002"/>
  </r>
  <r>
    <s v="AI"/>
    <x v="1"/>
    <x v="3"/>
    <n v="86677095"/>
    <n v="0.405966114692699"/>
    <n v="0.17038986043544699"/>
    <n v="0.106725663221638"/>
    <n v="0.28090500776560401"/>
  </r>
  <r>
    <s v="AI"/>
    <x v="0"/>
    <x v="4"/>
    <n v="27804298.84"/>
    <n v="0.13934978624334099"/>
    <n v="5.0104985851892797E-2"/>
    <n v="3.7560954369313601E-2"/>
    <n v="0.49227703039362197"/>
  </r>
  <r>
    <s v="预测"/>
    <x v="0"/>
    <x v="2"/>
    <n v="597376914.67999995"/>
    <n v="0.19420845189865801"/>
    <n v="6.9491692999615301E-2"/>
    <n v="5.0173412067748703E-2"/>
    <n v="0.474491611892841"/>
  </r>
  <r>
    <s v="AI"/>
    <x v="1"/>
    <x v="4"/>
    <n v="38146457.200000003"/>
    <n v="0.35938894477466699"/>
    <n v="0.13732664536931"/>
    <n v="9.5277996091338205E-2"/>
    <n v="0.42792046396023198"/>
  </r>
  <r>
    <s v="人工"/>
    <x v="4"/>
    <x v="0"/>
    <n v="464481162.31999999"/>
    <n v="4.5205160517434097E-2"/>
    <n v="1.76872059976892E-2"/>
    <n v="1.35587230890995E-2"/>
    <n v="0.46528323051037501"/>
  </r>
  <r>
    <s v="预测"/>
    <x v="4"/>
    <x v="5"/>
    <n v="3345902922.3400002"/>
    <n v="4.7821159206884102E-2"/>
    <n v="1.7066874035324201E-2"/>
    <n v="1.2695070011264201E-2"/>
    <n v="0.45953852492789399"/>
  </r>
  <r>
    <s v="人工"/>
    <x v="4"/>
    <x v="6"/>
    <n v="483436688"/>
    <n v="4.5440084576286802E-2"/>
    <n v="1.7319585227673E-2"/>
    <n v="1.28187642018596E-2"/>
    <n v="0.463166789444035"/>
  </r>
  <r>
    <s v="AI"/>
    <x v="2"/>
    <x v="3"/>
    <n v="46630628"/>
    <n v="7.0181979963898397E-2"/>
    <n v="1.9784164176386301E-2"/>
    <n v="1.53059913754539E-2"/>
    <n v="0.377397896039603"/>
  </r>
  <r>
    <s v="预测"/>
    <x v="2"/>
    <x v="7"/>
    <n v="65838887"/>
    <n v="0.11441481384702"/>
    <n v="4.4256671592884003E-2"/>
    <n v="3.41035078554714E-2"/>
    <n v="0.491349480968858"/>
  </r>
  <r>
    <s v="预测"/>
    <x v="2"/>
    <x v="2"/>
    <n v="307586726"/>
    <n v="0.13073691613076899"/>
    <n v="5.2069850569559303E-2"/>
    <n v="3.95961095213192E-2"/>
    <n v="0.50775229783678399"/>
  </r>
  <r>
    <s v="预测"/>
    <x v="1"/>
    <x v="5"/>
    <n v="37828150"/>
    <n v="0.35244471035459002"/>
    <n v="0.142002090242319"/>
    <n v="9.3147589823980206E-2"/>
    <n v="0.43197492163009399"/>
  </r>
  <r>
    <s v="预测"/>
    <x v="4"/>
    <x v="8"/>
    <n v="32472051"/>
    <n v="4.30028272621276E-3"/>
    <n v="1.14892650297943E-3"/>
    <n v="6.3121975264204897E-4"/>
    <n v="0.46588153792864501"/>
  </r>
  <r>
    <s v="预测"/>
    <x v="4"/>
    <x v="9"/>
    <n v="30732897"/>
    <n v="7.3341930635436002E-3"/>
    <n v="9.5051241020330799E-4"/>
    <n v="4.8784857476989599E-4"/>
    <n v="0.44403236682400499"/>
  </r>
  <r>
    <s v="预测"/>
    <x v="2"/>
    <x v="9"/>
    <n v="26276158"/>
    <n v="6.6592003290587606E-2"/>
    <n v="2.1712496933531899E-2"/>
    <n v="1.6423173433498101E-2"/>
    <n v="0.50433776749566195"/>
  </r>
  <r>
    <s v="预测"/>
    <x v="0"/>
    <x v="7"/>
    <n v="69858683.670000002"/>
    <n v="0.172618826557972"/>
    <n v="6.4505023044617499E-2"/>
    <n v="4.7017919998548902E-2"/>
    <n v="0.48385748615609597"/>
  </r>
  <r>
    <s v="AI"/>
    <x v="3"/>
    <x v="4"/>
    <n v="23878036"/>
    <n v="3.5273755345707598E-2"/>
    <n v="9.3522767115352297E-3"/>
    <n v="7.5896108038366302E-3"/>
    <n v="0.49427410417436202"/>
  </r>
  <r>
    <s v="AI"/>
    <x v="0"/>
    <x v="10"/>
    <n v="28122948"/>
    <n v="0.147965995599038"/>
    <n v="5.1564971069177998E-2"/>
    <n v="3.9188068050333799E-2"/>
    <n v="0.51084812623274101"/>
  </r>
  <r>
    <s v="AI"/>
    <x v="3"/>
    <x v="10"/>
    <n v="25214595"/>
    <n v="3.4233704725378199E-2"/>
    <n v="1.2206025914752901E-2"/>
    <n v="1.03721673895614E-2"/>
    <n v="0.47768654052124199"/>
  </r>
  <r>
    <s v="AI"/>
    <x v="1"/>
    <x v="10"/>
    <n v="38147460"/>
    <n v="0.35964530797070099"/>
    <n v="0.14266012730598501"/>
    <n v="9.7280198209789004E-2"/>
    <n v="0.41388657214345198"/>
  </r>
  <r>
    <s v="预测"/>
    <x v="2"/>
    <x v="8"/>
    <n v="25920416"/>
    <n v="6.6692911101426694E-2"/>
    <n v="2.33226966727694E-2"/>
    <n v="1.7602572427849902E-2"/>
    <n v="0.477870628288455"/>
  </r>
  <r>
    <s v="AI"/>
    <x v="4"/>
    <x v="3"/>
    <n v="70008704"/>
    <n v="4.1404423084306701E-3"/>
    <n v="4.3168917967685799E-4"/>
    <n v="3.0471925319457398E-4"/>
    <n v="0.35588024264561902"/>
  </r>
  <r>
    <s v="AI"/>
    <x v="3"/>
    <x v="3"/>
    <n v="47892657.340000004"/>
    <n v="3.09130268026175E-2"/>
    <n v="9.0367088409298094E-3"/>
    <n v="6.9820723796154196E-3"/>
    <n v="0.39119844105228901"/>
  </r>
  <r>
    <s v="预测"/>
    <x v="3"/>
    <x v="2"/>
    <n v="387429007.63"/>
    <n v="8.8737930880056895E-2"/>
    <n v="3.4325231818213002E-2"/>
    <n v="2.6845496891479099E-2"/>
    <n v="0.50594977597165702"/>
  </r>
  <r>
    <s v="预测"/>
    <x v="4"/>
    <x v="11"/>
    <n v="34556201"/>
    <n v="8.37722294762667E-3"/>
    <n v="2.42214125331659E-3"/>
    <n v="1.84035160577981E-3"/>
    <n v="0.46394799054373498"/>
  </r>
  <r>
    <s v="预测"/>
    <x v="3"/>
    <x v="5"/>
    <n v="226302431.34"/>
    <n v="8.4571227214283798E-2"/>
    <n v="2.9724750636432901E-2"/>
    <n v="2.33736699543141E-2"/>
    <n v="0.51834714301086804"/>
  </r>
  <r>
    <s v="预测"/>
    <x v="1"/>
    <x v="7"/>
    <n v="339287897.33999997"/>
    <n v="0.38009550040261902"/>
    <n v="0.14909736948060601"/>
    <n v="8.8933416595648906E-2"/>
    <n v="0.360386473429951"/>
  </r>
  <r>
    <s v="预测"/>
    <x v="3"/>
    <x v="9"/>
    <n v="26513428"/>
    <n v="3.3162403594133499E-2"/>
    <n v="1.20530434615999E-2"/>
    <n v="9.3874507664569E-3"/>
    <n v="0.50519262981574498"/>
  </r>
  <r>
    <s v="预测"/>
    <x v="2"/>
    <x v="11"/>
    <n v="23683202"/>
    <n v="7.3274037860252106E-2"/>
    <n v="2.6135099468391099E-2"/>
    <n v="2.2130957629800201E-2"/>
    <n v="0.51314924391847405"/>
  </r>
  <r>
    <s v="预测"/>
    <x v="3"/>
    <x v="1"/>
    <n v="11290943.34"/>
    <n v="3.4906206517196101E-2"/>
    <n v="1.5685934705965798E-2"/>
    <n v="1.0789266789465599E-2"/>
    <n v="0.53882725832012601"/>
  </r>
  <r>
    <s v="AI"/>
    <x v="2"/>
    <x v="10"/>
    <n v="24200913"/>
    <n v="7.7204194734305995E-2"/>
    <n v="2.49062091169866E-2"/>
    <n v="1.7666151686095401E-2"/>
    <n v="0.50341019811627097"/>
  </r>
  <r>
    <s v="预测"/>
    <x v="0"/>
    <x v="5"/>
    <n v="28326782"/>
    <n v="0.11757187950258501"/>
    <n v="4.0204072598151099E-2"/>
    <n v="2.9675273386154399E-2"/>
    <n v="0.49682014754515302"/>
  </r>
  <r>
    <s v="AI"/>
    <x v="4"/>
    <x v="10"/>
    <n v="33033303"/>
    <n v="7.8793816046793703E-3"/>
    <n v="2.19281735162844E-3"/>
    <n v="2.02398773141153E-3"/>
    <n v="0.44605379840378301"/>
  </r>
  <r>
    <s v="AI"/>
    <x v="0"/>
    <x v="3"/>
    <n v="57233147"/>
    <n v="0.144473747180108"/>
    <n v="4.6758086009144301E-2"/>
    <n v="3.4061571173082603E-2"/>
    <n v="0.36177914110429399"/>
  </r>
  <r>
    <s v="预测"/>
    <x v="4"/>
    <x v="2"/>
    <n v="378592916.26999998"/>
    <n v="4.6273657660055402E-2"/>
    <n v="1.6572978205237399E-2"/>
    <n v="1.22494725355416E-2"/>
    <n v="0.451895902025435"/>
  </r>
  <r>
    <s v="预测"/>
    <x v="1"/>
    <x v="8"/>
    <n v="39537199.340000004"/>
    <n v="0.34825125400498302"/>
    <n v="0.132664341874449"/>
    <n v="8.8177301078402506E-2"/>
    <n v="0.400651465798045"/>
  </r>
  <r>
    <s v="预测"/>
    <x v="1"/>
    <x v="9"/>
    <n v="36434082"/>
    <n v="0.35132212196261697"/>
    <n v="0.141429321589603"/>
    <n v="9.6733821370880102E-2"/>
    <n v="0.40277490163594898"/>
  </r>
  <r>
    <s v="预测"/>
    <x v="0"/>
    <x v="9"/>
    <n v="28224861"/>
    <n v="0.12792512352850899"/>
    <n v="4.4067568658708298E-2"/>
    <n v="3.21168150305505E-2"/>
    <n v="0.482800096223237"/>
  </r>
  <r>
    <s v="AI"/>
    <x v="2"/>
    <x v="12"/>
    <n v="11519369"/>
    <n v="8.2802018061926802E-2"/>
    <n v="2.8324120878495999E-2"/>
    <n v="2.0800965747342502E-2"/>
    <n v="0.492600422832981"/>
  </r>
  <r>
    <s v="预测"/>
    <x v="0"/>
    <x v="8"/>
    <n v="29861077"/>
    <n v="0.12664261908570801"/>
    <n v="4.2806995876270598E-2"/>
    <n v="3.1650566387809699E-2"/>
    <n v="0.47453022413402701"/>
  </r>
  <r>
    <s v="预测"/>
    <x v="3"/>
    <x v="7"/>
    <n v="314300652"/>
    <n v="8.5280039158175197E-2"/>
    <n v="3.2017308669152797E-2"/>
    <n v="2.4300481247490301E-2"/>
    <n v="0.48143259196533"/>
  </r>
  <r>
    <s v="预测"/>
    <x v="3"/>
    <x v="11"/>
    <n v="24941536"/>
    <n v="3.57680417116251E-2"/>
    <n v="1.2046250880459001E-2"/>
    <n v="8.6627784271185206E-3"/>
    <n v="0.48363252375923899"/>
  </r>
  <r>
    <s v="预测"/>
    <x v="4"/>
    <x v="7"/>
    <n v="654029868.60000002"/>
    <n v="4.3199965378461901E-2"/>
    <n v="1.5761712277860301E-2"/>
    <n v="1.1490743880072299E-2"/>
    <n v="0.43354527657784397"/>
  </r>
  <r>
    <s v="AI"/>
    <x v="4"/>
    <x v="4"/>
    <n v="31993946"/>
    <n v="4.4512483705510999E-3"/>
    <n v="6.7600289129699702E-4"/>
    <n v="5.3710161291139298E-4"/>
    <n v="0.49561557348298801"/>
  </r>
  <r>
    <s v="预测"/>
    <x v="0"/>
    <x v="11"/>
    <n v="27119202"/>
    <n v="0.12529727091527201"/>
    <n v="3.7584806514586899E-2"/>
    <n v="2.8097359206956E-2"/>
    <n v="0.49075500770415997"/>
  </r>
  <r>
    <s v="预测"/>
    <x v="2"/>
    <x v="5"/>
    <n v="23687631"/>
    <n v="7.4713465436877097E-2"/>
    <n v="2.4352498567712402E-2"/>
    <n v="1.8373470947770101E-2"/>
    <n v="0.500485594043379"/>
  </r>
  <r>
    <s v="AI"/>
    <x v="1"/>
    <x v="12"/>
    <n v="19296577"/>
    <n v="0.36538102068568901"/>
    <n v="0.13535918831614499"/>
    <n v="9.0562434985230797E-2"/>
    <n v="0.41496865203761701"/>
  </r>
  <r>
    <s v="预测"/>
    <x v="1"/>
    <x v="11"/>
    <n v="35965375"/>
    <n v="0.360353395453265"/>
    <n v="0.151323840221323"/>
    <n v="0.10346430865797999"/>
    <n v="0.40918208156897701"/>
  </r>
  <r>
    <s v="AI"/>
    <x v="4"/>
    <x v="12"/>
    <n v="13946106"/>
    <n v="5.9301858167433901E-3"/>
    <n v="1.2065016571650899E-3"/>
    <n v="8.9308083561103E-4"/>
    <n v="0.50455675227837604"/>
  </r>
  <r>
    <s v="预测"/>
    <x v="3"/>
    <x v="8"/>
    <n v="25867015.649999999"/>
    <n v="3.5076833457592903E-2"/>
    <n v="1.13244992759727E-2"/>
    <n v="8.0746462145508402E-3"/>
    <n v="0.50666666666666604"/>
  </r>
  <r>
    <s v="预测"/>
    <x v="0"/>
    <x v="1"/>
    <n v="15423382.5"/>
    <n v="0.117224480427688"/>
    <n v="3.9296568051787599E-2"/>
    <n v="2.7136070832711301E-2"/>
    <n v="0.50633484162895903"/>
  </r>
  <r>
    <s v="AI"/>
    <x v="2"/>
    <x v="4"/>
    <n v="23870538"/>
    <n v="7.8406485852979005E-2"/>
    <n v="2.09369390836519E-2"/>
    <n v="1.60713595981791E-2"/>
    <n v="0.52634982217911397"/>
  </r>
  <r>
    <s v="AI"/>
    <x v="0"/>
    <x v="12"/>
    <n v="14666736"/>
    <n v="0.12092786015920599"/>
    <n v="3.6886666535758103E-2"/>
    <n v="2.1340560026443502E-2"/>
    <n v="0.49247412982125999"/>
  </r>
  <r>
    <s v="AI"/>
    <x v="3"/>
    <x v="12"/>
    <n v="12431788"/>
    <n v="4.0938439426412301E-2"/>
    <n v="2.09154145807505E-2"/>
    <n v="1.4452868726525901E-2"/>
    <n v="0.53510895883777199"/>
  </r>
  <r>
    <s v="预测"/>
    <x v="2"/>
    <x v="1"/>
    <n v="12290859.18"/>
    <n v="7.47918698389968E-2"/>
    <n v="1.5216186050225299E-2"/>
    <n v="1.25224768867622E-2"/>
    <n v="0.516062884483937"/>
  </r>
  <r>
    <s v="预测"/>
    <x v="4"/>
    <x v="1"/>
    <n v="13599697.32"/>
    <n v="6.1141801941221397E-3"/>
    <n v="1.10737758684176E-3"/>
    <n v="8.4244521994993895E-4"/>
    <n v="0.47330677290836598"/>
  </r>
  <r>
    <s v="人工"/>
    <x v="0"/>
    <x v="13"/>
    <n v="3943107"/>
    <n v="0.100652099981055"/>
    <n v="3.5667304995781197E-2"/>
    <n v="2.3922252173222702E-2"/>
    <n v="0.49329359165424702"/>
  </r>
  <r>
    <s v="人工"/>
    <x v="1"/>
    <x v="13"/>
    <n v="79403113"/>
    <n v="0.36695659287312798"/>
    <n v="0.144462645312155"/>
    <n v="8.1794552059942502E-2"/>
    <n v="0.34686774941995302"/>
  </r>
  <r>
    <s v="人工"/>
    <x v="3"/>
    <x v="6"/>
    <n v="8151810"/>
    <n v="6.6108263072863493E-2"/>
    <n v="2.6491662587817901E-2"/>
    <n v="2.1852938181827101E-2"/>
    <n v="0.52412101390024501"/>
  </r>
  <r>
    <s v="人工"/>
    <x v="2"/>
    <x v="13"/>
    <n v="6219285"/>
    <n v="0.12446302107075"/>
    <n v="4.2892390363200902E-2"/>
    <n v="2.9848516348744199E-2"/>
    <n v="0.53391472868217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C3F6D-86A3-4E72-9C4B-6125EA867A3A}" name="数据透视表1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J3:O34" firstHeaderRow="0" firstDataRow="1" firstDataCol="1"/>
  <pivotFields count="8"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axis="axisRow" showAll="0">
      <items count="15">
        <item x="12"/>
        <item h="1" x="9"/>
        <item h="1" x="11"/>
        <item x="10"/>
        <item x="1"/>
        <item h="1" x="4"/>
        <item h="1" x="6"/>
        <item x="5"/>
        <item x="0"/>
        <item h="1" x="13"/>
        <item h="1" x="7"/>
        <item h="1" x="8"/>
        <item h="1" x="2"/>
        <item h="1"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31">
    <i>
      <x/>
    </i>
    <i r="1">
      <x/>
    </i>
    <i r="1">
      <x v="3"/>
    </i>
    <i r="1">
      <x v="4"/>
    </i>
    <i r="1">
      <x v="7"/>
    </i>
    <i r="1">
      <x v="8"/>
    </i>
    <i>
      <x v="1"/>
    </i>
    <i r="1">
      <x/>
    </i>
    <i r="1">
      <x v="3"/>
    </i>
    <i r="1">
      <x v="4"/>
    </i>
    <i r="1">
      <x v="7"/>
    </i>
    <i r="1">
      <x v="8"/>
    </i>
    <i>
      <x v="2"/>
    </i>
    <i r="1">
      <x/>
    </i>
    <i r="1">
      <x v="3"/>
    </i>
    <i r="1">
      <x v="4"/>
    </i>
    <i r="1">
      <x v="7"/>
    </i>
    <i r="1">
      <x v="8"/>
    </i>
    <i>
      <x v="3"/>
    </i>
    <i r="1">
      <x/>
    </i>
    <i r="1">
      <x v="3"/>
    </i>
    <i r="1">
      <x v="4"/>
    </i>
    <i r="1">
      <x v="7"/>
    </i>
    <i r="1">
      <x v="8"/>
    </i>
    <i>
      <x v="4"/>
    </i>
    <i r="1">
      <x/>
    </i>
    <i r="1">
      <x v="3"/>
    </i>
    <i r="1">
      <x v="4"/>
    </i>
    <i r="1">
      <x v="7"/>
    </i>
    <i r="1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求和项:owing_principal" fld="3" baseField="0" baseItem="0" numFmtId="196"/>
    <dataField name="求和项:overdue_rate" fld="4" baseField="0" baseItem="0"/>
    <dataField name="求和项:dpd5" fld="5" baseField="0" baseItem="0"/>
    <dataField name="求和项:dpd30" fld="6" baseField="0" baseItem="0"/>
    <dataField name="求和项:reloan_rate" fld="7" baseField="0" baseItem="0"/>
  </dataFields>
  <formats count="7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FACC-167A-4B97-9F2F-4A7D1155D319}">
  <dimension ref="A1:M58"/>
  <sheetViews>
    <sheetView tabSelected="1" topLeftCell="A8" zoomScale="90" zoomScaleNormal="90" workbookViewId="0">
      <selection activeCell="D25" sqref="D23:D25"/>
    </sheetView>
  </sheetViews>
  <sheetFormatPr defaultRowHeight="16.5" x14ac:dyDescent="0.45"/>
  <cols>
    <col min="2" max="2" width="16.53515625" bestFit="1" customWidth="1"/>
    <col min="3" max="3" width="11.84375" customWidth="1"/>
    <col min="5" max="5" width="14.07421875" customWidth="1"/>
    <col min="7" max="7" width="6.3046875" bestFit="1" customWidth="1"/>
  </cols>
  <sheetData>
    <row r="1" spans="1:12" x14ac:dyDescent="0.45">
      <c r="A1" t="s">
        <v>29</v>
      </c>
      <c r="B1" t="s">
        <v>30</v>
      </c>
      <c r="C1" t="s">
        <v>28</v>
      </c>
    </row>
    <row r="2" spans="1:12" x14ac:dyDescent="0.45">
      <c r="B2" t="s">
        <v>31</v>
      </c>
      <c r="C2" t="s">
        <v>32</v>
      </c>
    </row>
    <row r="4" spans="1:12" x14ac:dyDescent="0.45">
      <c r="A4" t="s">
        <v>33</v>
      </c>
    </row>
    <row r="5" spans="1:12" x14ac:dyDescent="0.45">
      <c r="B5" s="3"/>
      <c r="C5" s="3" t="s">
        <v>61</v>
      </c>
      <c r="D5" s="3" t="s">
        <v>59</v>
      </c>
      <c r="E5" s="3" t="s">
        <v>60</v>
      </c>
      <c r="F5" s="3" t="s">
        <v>61</v>
      </c>
      <c r="G5" s="3" t="s">
        <v>63</v>
      </c>
      <c r="H5" s="3" t="s">
        <v>42</v>
      </c>
      <c r="I5" s="3" t="s">
        <v>43</v>
      </c>
      <c r="J5" s="3"/>
      <c r="K5" s="3" t="s">
        <v>52</v>
      </c>
      <c r="L5" s="3" t="s">
        <v>53</v>
      </c>
    </row>
    <row r="6" spans="1:12" x14ac:dyDescent="0.45">
      <c r="B6" s="4" t="s">
        <v>40</v>
      </c>
      <c r="C6" s="5">
        <v>0.3</v>
      </c>
      <c r="D6" s="6" t="s">
        <v>34</v>
      </c>
      <c r="E6" s="6" t="s">
        <v>34</v>
      </c>
      <c r="F6" s="3"/>
      <c r="G6" s="22"/>
      <c r="H6" s="22"/>
      <c r="I6" s="21"/>
      <c r="J6" s="3"/>
      <c r="K6" s="21"/>
      <c r="L6" s="3"/>
    </row>
    <row r="7" spans="1:12" x14ac:dyDescent="0.45">
      <c r="B7" s="4"/>
      <c r="C7" s="7">
        <v>0.4</v>
      </c>
      <c r="D7" s="8" t="s">
        <v>35</v>
      </c>
      <c r="E7" s="6" t="s">
        <v>57</v>
      </c>
      <c r="F7" s="3"/>
      <c r="G7" s="21">
        <f>$D$21*D29+$D$22*D35</f>
        <v>1.7685365047294774E-2</v>
      </c>
      <c r="H7" s="21">
        <f>$D$21*F29+$D$22*F35</f>
        <v>5.446228180897076E-3</v>
      </c>
      <c r="I7" s="21"/>
      <c r="J7" s="3"/>
      <c r="K7" s="21"/>
      <c r="L7" s="3"/>
    </row>
    <row r="8" spans="1:12" x14ac:dyDescent="0.45">
      <c r="B8" s="4"/>
      <c r="C8" s="7"/>
      <c r="D8" s="8"/>
      <c r="E8" s="6" t="s">
        <v>58</v>
      </c>
      <c r="F8" s="3"/>
      <c r="G8" s="21">
        <f>$D$21*D30+$D$22*D36</f>
        <v>1.6728717399542199E-2</v>
      </c>
      <c r="H8" s="21">
        <f>$D$21*F30+$D$22*F36</f>
        <v>4.8271652113441831E-3</v>
      </c>
      <c r="I8" s="21"/>
      <c r="J8" s="3"/>
      <c r="K8" s="21"/>
      <c r="L8" s="3"/>
    </row>
    <row r="9" spans="1:12" x14ac:dyDescent="0.45">
      <c r="B9" s="4"/>
      <c r="C9" s="7">
        <v>0.3</v>
      </c>
      <c r="D9" s="8" t="s">
        <v>36</v>
      </c>
      <c r="E9" s="6" t="s">
        <v>55</v>
      </c>
      <c r="F9" s="3"/>
      <c r="G9" s="21">
        <f>$D$21*D31+$D$22*D37</f>
        <v>1.5782055478966679E-2</v>
      </c>
      <c r="H9" s="21">
        <f>$D$21*F31+$D$22*F37</f>
        <v>4.1824196050668557E-3</v>
      </c>
      <c r="I9" s="21"/>
      <c r="J9" s="3"/>
      <c r="K9" s="21"/>
      <c r="L9" s="3"/>
    </row>
    <row r="10" spans="1:12" x14ac:dyDescent="0.45">
      <c r="B10" s="4"/>
      <c r="C10" s="7"/>
      <c r="D10" s="8"/>
      <c r="E10" s="6" t="s">
        <v>54</v>
      </c>
      <c r="F10" s="3"/>
      <c r="G10" s="21">
        <f>$D$21*D32+$D$22*D38</f>
        <v>6.0161210241095664E-2</v>
      </c>
      <c r="H10" s="21">
        <f>$D$21*F32+$D$22*F38</f>
        <v>1.628076319269264E-2</v>
      </c>
      <c r="I10" s="21"/>
      <c r="J10" s="3"/>
      <c r="K10" s="21"/>
      <c r="L10" s="3"/>
    </row>
    <row r="11" spans="1:12" x14ac:dyDescent="0.45">
      <c r="B11" s="4"/>
      <c r="C11" s="7"/>
      <c r="D11" s="8"/>
      <c r="E11" s="6" t="s">
        <v>56</v>
      </c>
      <c r="F11" s="3"/>
      <c r="G11" s="21">
        <f>$D$21*D33+$D$22*D39</f>
        <v>5.9249811164142366E-2</v>
      </c>
      <c r="H11" s="21">
        <f>$D$21*F33+$D$22*F39</f>
        <v>1.8197776743162749E-2</v>
      </c>
      <c r="I11" s="21"/>
      <c r="J11" s="3"/>
      <c r="K11" s="21"/>
      <c r="L11" s="3"/>
    </row>
    <row r="12" spans="1:12" x14ac:dyDescent="0.45">
      <c r="B12" s="4" t="s">
        <v>41</v>
      </c>
      <c r="C12" s="5">
        <v>0.1</v>
      </c>
      <c r="D12" s="6" t="s">
        <v>34</v>
      </c>
      <c r="E12" s="6" t="s">
        <v>34</v>
      </c>
      <c r="F12" s="3"/>
      <c r="G12" s="22"/>
      <c r="H12" s="22"/>
      <c r="I12" s="21"/>
      <c r="J12" s="3"/>
      <c r="K12" s="21"/>
      <c r="L12" s="3"/>
    </row>
    <row r="13" spans="1:12" x14ac:dyDescent="0.45">
      <c r="B13" s="4"/>
      <c r="C13" s="7">
        <v>0.4</v>
      </c>
      <c r="D13" s="8" t="s">
        <v>35</v>
      </c>
      <c r="E13" s="6" t="s">
        <v>57</v>
      </c>
      <c r="F13" s="3"/>
      <c r="G13" s="21">
        <f>$D$23*D41+$D$24*D47+$D$25*D53</f>
        <v>0.16342708939899264</v>
      </c>
      <c r="H13" s="21">
        <f>$D$23*F41+$D$24*F47+$D$25*F53</f>
        <v>3.7817881925824678E-2</v>
      </c>
      <c r="I13" s="21"/>
      <c r="J13" s="3"/>
      <c r="K13" s="21"/>
      <c r="L13" s="3"/>
    </row>
    <row r="14" spans="1:12" x14ac:dyDescent="0.45">
      <c r="B14" s="4"/>
      <c r="C14" s="7"/>
      <c r="D14" s="8"/>
      <c r="E14" s="6" t="s">
        <v>58</v>
      </c>
      <c r="F14" s="3"/>
      <c r="G14" s="21">
        <f>$D$23*D42+$D$24*D48+$D$25*D54</f>
        <v>0.16841630966081111</v>
      </c>
      <c r="H14" s="21">
        <f>$D$23*F42+$D$24*F48+$D$25*F54</f>
        <v>4.3889635163359433E-2</v>
      </c>
      <c r="I14" s="21"/>
      <c r="J14" s="3"/>
      <c r="K14" s="21"/>
      <c r="L14" s="3"/>
    </row>
    <row r="15" spans="1:12" x14ac:dyDescent="0.45">
      <c r="B15" s="4"/>
      <c r="C15" s="7">
        <v>0.5</v>
      </c>
      <c r="D15" s="8" t="s">
        <v>36</v>
      </c>
      <c r="E15" s="6" t="s">
        <v>55</v>
      </c>
      <c r="F15" s="3"/>
      <c r="G15" s="21">
        <f>$D$23*D43+$D$24*D49+$D$25*D55</f>
        <v>0.15196262861629661</v>
      </c>
      <c r="H15" s="21">
        <f>$D$23*F43+$D$24*F49+$D$25*F55</f>
        <v>3.3515468760113534E-2</v>
      </c>
      <c r="I15" s="21"/>
      <c r="J15" s="3"/>
      <c r="K15" s="21"/>
      <c r="L15" s="3"/>
    </row>
    <row r="16" spans="1:12" x14ac:dyDescent="0.45">
      <c r="B16" s="4"/>
      <c r="C16" s="7"/>
      <c r="D16" s="8"/>
      <c r="E16" s="6" t="s">
        <v>54</v>
      </c>
      <c r="F16" s="3"/>
      <c r="G16" s="21">
        <f>$D$23*D44+$D$24*D50+$D$25*D56</f>
        <v>0.15570828986543833</v>
      </c>
      <c r="H16" s="21">
        <f>$D$23*F44+$D$24*F50+$D$25*F56</f>
        <v>4.0102723077967486E-2</v>
      </c>
      <c r="I16" s="21"/>
      <c r="J16" s="3"/>
      <c r="K16" s="21"/>
      <c r="L16" s="3"/>
    </row>
    <row r="17" spans="1:13" x14ac:dyDescent="0.45">
      <c r="B17" s="4"/>
      <c r="C17" s="7"/>
      <c r="D17" s="8"/>
      <c r="E17" s="6" t="s">
        <v>56</v>
      </c>
      <c r="F17" s="3"/>
      <c r="G17" s="21">
        <f>$D$23*D45+$D$24*D51+$D$25*D57</f>
        <v>0.21021140469690353</v>
      </c>
      <c r="H17" s="21">
        <f>$D$23*F45+$D$24*F51+$D$25*F57</f>
        <v>5.8775453708212508E-2</v>
      </c>
      <c r="I17" s="21"/>
      <c r="J17" s="3"/>
      <c r="K17" s="21"/>
      <c r="L17" s="3"/>
    </row>
    <row r="19" spans="1:13" x14ac:dyDescent="0.45">
      <c r="A19" t="s">
        <v>44</v>
      </c>
    </row>
    <row r="20" spans="1:13" x14ac:dyDescent="0.45">
      <c r="B20" s="13" t="s">
        <v>64</v>
      </c>
    </row>
    <row r="21" spans="1:13" x14ac:dyDescent="0.45">
      <c r="B21" t="s">
        <v>45</v>
      </c>
      <c r="C21" s="2">
        <f>C28/($C$28+$C$34+$C$40+$C$46+$C$52)</f>
        <v>0.40291665503535312</v>
      </c>
      <c r="D21" s="10">
        <f>C21/($C$21+$C$22)</f>
        <v>0.66421691976932173</v>
      </c>
    </row>
    <row r="22" spans="1:13" x14ac:dyDescent="0.45">
      <c r="B22" t="s">
        <v>46</v>
      </c>
      <c r="C22" s="2">
        <f>C34/($C$28+$C$34+$C$40+$C$46+$C$52)</f>
        <v>0.20368736699901999</v>
      </c>
      <c r="D22" s="12">
        <f>C22/($C$21+$C$22)</f>
        <v>0.33578308023067815</v>
      </c>
    </row>
    <row r="23" spans="1:13" x14ac:dyDescent="0.45">
      <c r="B23" t="s">
        <v>47</v>
      </c>
      <c r="C23" s="2">
        <f>C40/($C$28+$C$34+$C$40+$C$46+$C$52)</f>
        <v>0.17040691859082344</v>
      </c>
      <c r="D23" s="10">
        <f>C23/SUM($C$23:$C$25)</f>
        <v>0.43316893953021768</v>
      </c>
    </row>
    <row r="24" spans="1:13" x14ac:dyDescent="0.45">
      <c r="B24" t="s">
        <v>48</v>
      </c>
      <c r="C24" s="2">
        <f>C46/($C$28+$C$34+$C$40+$C$46+$C$52)</f>
        <v>0.12801817386835987</v>
      </c>
      <c r="D24" s="11">
        <f t="shared" ref="D24:D25" si="0">C24/SUM($C$23:$C$25)</f>
        <v>0.32541810551897793</v>
      </c>
    </row>
    <row r="25" spans="1:13" x14ac:dyDescent="0.45">
      <c r="B25" t="s">
        <v>49</v>
      </c>
      <c r="C25" s="2">
        <f>C52/($C$28+$C$34+$C$40+$C$46+$C$52)</f>
        <v>9.4970885506443489E-2</v>
      </c>
      <c r="D25" s="12">
        <f t="shared" si="0"/>
        <v>0.24141295495080436</v>
      </c>
    </row>
    <row r="27" spans="1:13" x14ac:dyDescent="0.45">
      <c r="B27" s="9" t="s">
        <v>37</v>
      </c>
      <c r="C27" s="9" t="s">
        <v>62</v>
      </c>
      <c r="D27" s="9" t="s">
        <v>63</v>
      </c>
      <c r="F27" s="9" t="s">
        <v>42</v>
      </c>
    </row>
    <row r="28" spans="1:13" x14ac:dyDescent="0.45">
      <c r="B28" s="15" t="s">
        <v>7</v>
      </c>
      <c r="C28" s="17">
        <v>3870963190.9800005</v>
      </c>
      <c r="D28" s="9"/>
      <c r="F28" s="9"/>
    </row>
    <row r="29" spans="1:13" x14ac:dyDescent="0.45">
      <c r="B29" s="16" t="s">
        <v>16</v>
      </c>
      <c r="C29" s="17">
        <v>13946106</v>
      </c>
      <c r="D29" s="9">
        <v>5.9301858167433901E-3</v>
      </c>
      <c r="F29" s="9">
        <v>8.9308083561103E-4</v>
      </c>
      <c r="H29" s="16" t="s">
        <v>16</v>
      </c>
      <c r="I29" s="17">
        <v>13946106</v>
      </c>
      <c r="J29" s="9">
        <v>5.9301858167433901E-3</v>
      </c>
      <c r="K29" s="9">
        <v>1.2065016571650899E-3</v>
      </c>
      <c r="L29" s="9">
        <v>8.9308083561103E-4</v>
      </c>
      <c r="M29" s="9">
        <v>0.50455675227837604</v>
      </c>
    </row>
    <row r="30" spans="1:13" x14ac:dyDescent="0.45">
      <c r="B30" s="16" t="s">
        <v>14</v>
      </c>
      <c r="C30" s="17">
        <v>33033303</v>
      </c>
      <c r="D30" s="9">
        <v>7.8793816046793703E-3</v>
      </c>
      <c r="F30" s="9">
        <v>2.02398773141153E-3</v>
      </c>
      <c r="H30" s="16" t="s">
        <v>14</v>
      </c>
      <c r="I30" s="17">
        <v>33033303</v>
      </c>
      <c r="J30" s="9">
        <v>7.8793816046793703E-3</v>
      </c>
      <c r="K30" s="9">
        <v>2.19281735162844E-3</v>
      </c>
      <c r="L30" s="9">
        <v>2.02398773141153E-3</v>
      </c>
      <c r="M30" s="9">
        <v>0.44605379840378301</v>
      </c>
    </row>
    <row r="31" spans="1:13" x14ac:dyDescent="0.45">
      <c r="B31" s="16" t="s">
        <v>21</v>
      </c>
      <c r="C31" s="17">
        <v>13599697.32</v>
      </c>
      <c r="D31" s="9">
        <v>6.1141801941221397E-3</v>
      </c>
      <c r="F31" s="9">
        <v>8.4244521994993895E-4</v>
      </c>
      <c r="H31" s="16" t="s">
        <v>21</v>
      </c>
      <c r="I31" s="17">
        <v>13599697.32</v>
      </c>
      <c r="J31" s="9">
        <v>6.1141801941221397E-3</v>
      </c>
      <c r="K31" s="9">
        <v>1.10737758684176E-3</v>
      </c>
      <c r="L31" s="9">
        <v>8.4244521994993895E-4</v>
      </c>
      <c r="M31" s="9">
        <v>0.47330677290836598</v>
      </c>
    </row>
    <row r="32" spans="1:13" x14ac:dyDescent="0.45">
      <c r="B32" s="16" t="s">
        <v>8</v>
      </c>
      <c r="C32" s="17">
        <v>3345902922.3400002</v>
      </c>
      <c r="D32" s="9">
        <v>4.7821159206884102E-2</v>
      </c>
      <c r="F32" s="9">
        <v>1.2695070011264201E-2</v>
      </c>
      <c r="H32" s="16" t="s">
        <v>8</v>
      </c>
      <c r="I32" s="17">
        <v>3345902922.3400002</v>
      </c>
      <c r="J32" s="9">
        <v>4.7821159206884102E-2</v>
      </c>
      <c r="K32" s="9">
        <v>1.7066874035324201E-2</v>
      </c>
      <c r="L32" s="9">
        <v>1.2695070011264201E-2</v>
      </c>
      <c r="M32" s="9">
        <v>0.45953852492789399</v>
      </c>
    </row>
    <row r="33" spans="2:13" x14ac:dyDescent="0.45">
      <c r="B33" s="16" t="s">
        <v>11</v>
      </c>
      <c r="C33" s="17">
        <v>464481162.31999999</v>
      </c>
      <c r="D33" s="9">
        <v>4.5205160517434097E-2</v>
      </c>
      <c r="F33" s="9">
        <v>1.35587230890995E-2</v>
      </c>
      <c r="H33" s="16" t="s">
        <v>11</v>
      </c>
      <c r="I33" s="17">
        <v>464481162.31999999</v>
      </c>
      <c r="J33" s="9">
        <v>4.5205160517434097E-2</v>
      </c>
      <c r="K33" s="9">
        <v>1.76872059976892E-2</v>
      </c>
      <c r="L33" s="9">
        <v>1.35587230890995E-2</v>
      </c>
      <c r="M33" s="9">
        <v>0.46528323051037501</v>
      </c>
    </row>
    <row r="34" spans="2:13" x14ac:dyDescent="0.45">
      <c r="B34" s="15" t="s">
        <v>23</v>
      </c>
      <c r="C34" s="17">
        <v>1956896768.27</v>
      </c>
      <c r="D34" s="9"/>
      <c r="F34" s="9"/>
      <c r="H34" s="18" t="s">
        <v>23</v>
      </c>
      <c r="I34" s="19">
        <v>1956896768.27</v>
      </c>
      <c r="J34" s="20">
        <v>0.28168129689513433</v>
      </c>
      <c r="K34" s="20">
        <v>0.1141944331647447</v>
      </c>
      <c r="L34" s="20">
        <v>8.63623225459835E-2</v>
      </c>
      <c r="M34" s="20">
        <v>2.5848101099791991</v>
      </c>
    </row>
    <row r="35" spans="2:13" x14ac:dyDescent="0.45">
      <c r="B35" s="16" t="s">
        <v>16</v>
      </c>
      <c r="C35" s="17">
        <v>12431788</v>
      </c>
      <c r="D35" s="9">
        <v>4.0938439426412301E-2</v>
      </c>
      <c r="F35" s="9">
        <v>1.4452868726525901E-2</v>
      </c>
      <c r="H35" s="16" t="s">
        <v>16</v>
      </c>
      <c r="I35" s="17">
        <v>12431788</v>
      </c>
      <c r="J35" s="9">
        <v>4.0938439426412301E-2</v>
      </c>
      <c r="K35" s="9">
        <v>2.09154145807505E-2</v>
      </c>
      <c r="L35" s="9">
        <v>1.4452868726525901E-2</v>
      </c>
      <c r="M35" s="9">
        <v>0.53510895883777199</v>
      </c>
    </row>
    <row r="36" spans="2:13" x14ac:dyDescent="0.45">
      <c r="B36" s="16" t="s">
        <v>14</v>
      </c>
      <c r="C36" s="17">
        <v>25214595</v>
      </c>
      <c r="D36" s="9">
        <v>3.4233704725378199E-2</v>
      </c>
      <c r="F36" s="9">
        <v>1.03721673895614E-2</v>
      </c>
      <c r="H36" s="16" t="s">
        <v>14</v>
      </c>
      <c r="I36" s="17">
        <v>25214595</v>
      </c>
      <c r="J36" s="9">
        <v>3.4233704725378199E-2</v>
      </c>
      <c r="K36" s="9">
        <v>1.2206025914752901E-2</v>
      </c>
      <c r="L36" s="9">
        <v>1.03721673895614E-2</v>
      </c>
      <c r="M36" s="9">
        <v>0.47768654052124199</v>
      </c>
    </row>
    <row r="37" spans="2:13" x14ac:dyDescent="0.45">
      <c r="B37" s="16" t="s">
        <v>21</v>
      </c>
      <c r="C37" s="17">
        <v>11290943.34</v>
      </c>
      <c r="D37" s="9">
        <v>3.4906206517196101E-2</v>
      </c>
      <c r="F37" s="9">
        <v>1.0789266789465599E-2</v>
      </c>
      <c r="H37" s="16" t="s">
        <v>21</v>
      </c>
      <c r="I37" s="17">
        <v>11290943.34</v>
      </c>
      <c r="J37" s="9">
        <v>3.4906206517196101E-2</v>
      </c>
      <c r="K37" s="9">
        <v>1.5685934705965798E-2</v>
      </c>
      <c r="L37" s="9">
        <v>1.0789266789465599E-2</v>
      </c>
      <c r="M37" s="9">
        <v>0.53882725832012601</v>
      </c>
    </row>
    <row r="38" spans="2:13" x14ac:dyDescent="0.45">
      <c r="B38" s="16" t="s">
        <v>8</v>
      </c>
      <c r="C38" s="17">
        <v>226302431.34</v>
      </c>
      <c r="D38" s="9">
        <v>8.4571227214283798E-2</v>
      </c>
      <c r="F38" s="9">
        <v>2.33736699543141E-2</v>
      </c>
      <c r="H38" s="16" t="s">
        <v>8</v>
      </c>
      <c r="I38" s="17">
        <v>226302431.34</v>
      </c>
      <c r="J38" s="9">
        <v>8.4571227214283798E-2</v>
      </c>
      <c r="K38" s="9">
        <v>2.9724750636432901E-2</v>
      </c>
      <c r="L38" s="9">
        <v>2.33736699543141E-2</v>
      </c>
      <c r="M38" s="9">
        <v>0.51834714301086804</v>
      </c>
    </row>
    <row r="39" spans="2:13" x14ac:dyDescent="0.45">
      <c r="B39" s="16" t="s">
        <v>11</v>
      </c>
      <c r="C39" s="17">
        <v>1681657010.5899999</v>
      </c>
      <c r="D39" s="9">
        <v>8.7031719011863906E-2</v>
      </c>
      <c r="F39" s="9">
        <v>2.73743496861165E-2</v>
      </c>
      <c r="H39" s="16" t="s">
        <v>11</v>
      </c>
      <c r="I39" s="17">
        <v>1681657010.5899999</v>
      </c>
      <c r="J39" s="9">
        <v>8.7031719011863906E-2</v>
      </c>
      <c r="K39" s="9">
        <v>3.5662307326842599E-2</v>
      </c>
      <c r="L39" s="9">
        <v>2.73743496861165E-2</v>
      </c>
      <c r="M39" s="9">
        <v>0.51484020928919105</v>
      </c>
    </row>
    <row r="40" spans="2:13" x14ac:dyDescent="0.45">
      <c r="B40" s="15" t="s">
        <v>24</v>
      </c>
      <c r="C40" s="17">
        <v>1637159698.1900001</v>
      </c>
      <c r="D40" s="9"/>
      <c r="F40" s="9"/>
      <c r="H40" s="18" t="s">
        <v>24</v>
      </c>
      <c r="I40" s="19">
        <v>1637159698.1900001</v>
      </c>
      <c r="J40" s="20">
        <v>0.43618914768198169</v>
      </c>
      <c r="K40" s="20">
        <v>0.14415223526192239</v>
      </c>
      <c r="L40" s="20">
        <v>0.10824602084268581</v>
      </c>
      <c r="M40" s="20">
        <v>2.526611956563269</v>
      </c>
    </row>
    <row r="41" spans="2:13" x14ac:dyDescent="0.45">
      <c r="B41" s="16" t="s">
        <v>16</v>
      </c>
      <c r="C41" s="17">
        <v>11519369</v>
      </c>
      <c r="D41" s="9">
        <v>8.2802018061926802E-2</v>
      </c>
      <c r="F41" s="9">
        <v>2.0800965747342502E-2</v>
      </c>
      <c r="H41" s="16" t="s">
        <v>16</v>
      </c>
      <c r="I41" s="17">
        <v>11519369</v>
      </c>
      <c r="J41" s="9">
        <v>8.2802018061926802E-2</v>
      </c>
      <c r="K41" s="9">
        <v>2.8324120878495999E-2</v>
      </c>
      <c r="L41" s="9">
        <v>2.0800965747342502E-2</v>
      </c>
      <c r="M41" s="9">
        <v>0.492600422832981</v>
      </c>
    </row>
    <row r="42" spans="2:13" x14ac:dyDescent="0.45">
      <c r="B42" s="16" t="s">
        <v>14</v>
      </c>
      <c r="C42" s="17">
        <v>24200913</v>
      </c>
      <c r="D42" s="9">
        <v>7.7204194734305995E-2</v>
      </c>
      <c r="F42" s="9">
        <v>1.7666151686095401E-2</v>
      </c>
      <c r="H42" s="16" t="s">
        <v>14</v>
      </c>
      <c r="I42" s="17">
        <v>24200913</v>
      </c>
      <c r="J42" s="9">
        <v>7.7204194734305995E-2</v>
      </c>
      <c r="K42" s="9">
        <v>2.49062091169866E-2</v>
      </c>
      <c r="L42" s="9">
        <v>1.7666151686095401E-2</v>
      </c>
      <c r="M42" s="9">
        <v>0.50341019811627097</v>
      </c>
    </row>
    <row r="43" spans="2:13" x14ac:dyDescent="0.45">
      <c r="B43" s="16" t="s">
        <v>21</v>
      </c>
      <c r="C43" s="17">
        <v>12290859.18</v>
      </c>
      <c r="D43" s="9">
        <v>7.47918698389968E-2</v>
      </c>
      <c r="F43" s="9">
        <v>1.25224768867622E-2</v>
      </c>
      <c r="H43" s="16" t="s">
        <v>21</v>
      </c>
      <c r="I43" s="17">
        <v>12290859.18</v>
      </c>
      <c r="J43" s="9">
        <v>7.47918698389968E-2</v>
      </c>
      <c r="K43" s="9">
        <v>1.5216186050225299E-2</v>
      </c>
      <c r="L43" s="9">
        <v>1.25224768867622E-2</v>
      </c>
      <c r="M43" s="9">
        <v>0.516062884483937</v>
      </c>
    </row>
    <row r="44" spans="2:13" x14ac:dyDescent="0.45">
      <c r="B44" s="16" t="s">
        <v>8</v>
      </c>
      <c r="C44" s="17">
        <v>23687631</v>
      </c>
      <c r="D44" s="9">
        <v>7.4713465436877097E-2</v>
      </c>
      <c r="F44" s="9">
        <v>1.8373470947770101E-2</v>
      </c>
      <c r="H44" s="16" t="s">
        <v>8</v>
      </c>
      <c r="I44" s="17">
        <v>23687631</v>
      </c>
      <c r="J44" s="9">
        <v>7.4713465436877097E-2</v>
      </c>
      <c r="K44" s="9">
        <v>2.4352498567712402E-2</v>
      </c>
      <c r="L44" s="9">
        <v>1.8373470947770101E-2</v>
      </c>
      <c r="M44" s="9">
        <v>0.500485594043379</v>
      </c>
    </row>
    <row r="45" spans="2:13" x14ac:dyDescent="0.45">
      <c r="B45" s="16" t="s">
        <v>11</v>
      </c>
      <c r="C45" s="17">
        <v>1565460926.01</v>
      </c>
      <c r="D45" s="9">
        <v>0.12667759960987501</v>
      </c>
      <c r="F45" s="9">
        <v>3.8882955574715598E-2</v>
      </c>
      <c r="H45" s="16" t="s">
        <v>11</v>
      </c>
      <c r="I45" s="17">
        <v>1565460926.01</v>
      </c>
      <c r="J45" s="9">
        <v>0.12667759960987501</v>
      </c>
      <c r="K45" s="9">
        <v>5.1353220648502097E-2</v>
      </c>
      <c r="L45" s="9">
        <v>3.8882955574715598E-2</v>
      </c>
      <c r="M45" s="9">
        <v>0.51405285708670101</v>
      </c>
    </row>
    <row r="46" spans="2:13" x14ac:dyDescent="0.45">
      <c r="B46" s="15" t="s">
        <v>26</v>
      </c>
      <c r="C46" s="17">
        <v>1229915995.3499999</v>
      </c>
      <c r="D46" s="9"/>
      <c r="F46" s="9"/>
      <c r="H46" s="18" t="s">
        <v>26</v>
      </c>
      <c r="I46" s="19">
        <v>1229915995.3499999</v>
      </c>
      <c r="J46" s="20">
        <v>0.699042738885157</v>
      </c>
      <c r="K46" s="20">
        <v>0.24369603796036871</v>
      </c>
      <c r="L46" s="20">
        <v>0.17311885647623701</v>
      </c>
      <c r="M46" s="20">
        <v>2.5011012923836788</v>
      </c>
    </row>
    <row r="47" spans="2:13" x14ac:dyDescent="0.45">
      <c r="B47" s="16" t="s">
        <v>16</v>
      </c>
      <c r="C47" s="17">
        <v>14666736</v>
      </c>
      <c r="D47" s="9">
        <v>0.12092786015920599</v>
      </c>
      <c r="F47" s="9">
        <v>2.1340560026443502E-2</v>
      </c>
      <c r="H47" s="16" t="s">
        <v>16</v>
      </c>
      <c r="I47" s="17">
        <v>14666736</v>
      </c>
      <c r="J47" s="9">
        <v>0.12092786015920599</v>
      </c>
      <c r="K47" s="9">
        <v>3.6886666535758103E-2</v>
      </c>
      <c r="L47" s="9">
        <v>2.1340560026443502E-2</v>
      </c>
      <c r="M47" s="9">
        <v>0.49247412982125999</v>
      </c>
    </row>
    <row r="48" spans="2:13" x14ac:dyDescent="0.45">
      <c r="B48" s="16" t="s">
        <v>14</v>
      </c>
      <c r="C48" s="17">
        <v>28122948</v>
      </c>
      <c r="D48" s="9">
        <v>0.147965995599038</v>
      </c>
      <c r="F48" s="9">
        <v>3.9188068050333799E-2</v>
      </c>
      <c r="H48" s="16" t="s">
        <v>14</v>
      </c>
      <c r="I48" s="17">
        <v>28122948</v>
      </c>
      <c r="J48" s="9">
        <v>0.147965995599038</v>
      </c>
      <c r="K48" s="9">
        <v>5.1564971069177998E-2</v>
      </c>
      <c r="L48" s="9">
        <v>3.9188068050333799E-2</v>
      </c>
      <c r="M48" s="9">
        <v>0.51084812623274101</v>
      </c>
    </row>
    <row r="49" spans="2:13" x14ac:dyDescent="0.45">
      <c r="B49" s="16" t="s">
        <v>21</v>
      </c>
      <c r="C49" s="17">
        <v>15423382.5</v>
      </c>
      <c r="D49" s="9">
        <v>0.117224480427688</v>
      </c>
      <c r="F49" s="9">
        <v>2.7136070832711301E-2</v>
      </c>
      <c r="H49" s="16" t="s">
        <v>21</v>
      </c>
      <c r="I49" s="17">
        <v>15423382.5</v>
      </c>
      <c r="J49" s="9">
        <v>0.117224480427688</v>
      </c>
      <c r="K49" s="9">
        <v>3.9296568051787599E-2</v>
      </c>
      <c r="L49" s="9">
        <v>2.7136070832711301E-2</v>
      </c>
      <c r="M49" s="9">
        <v>0.50633484162895903</v>
      </c>
    </row>
    <row r="50" spans="2:13" x14ac:dyDescent="0.45">
      <c r="B50" s="16" t="s">
        <v>8</v>
      </c>
      <c r="C50" s="17">
        <v>28326782</v>
      </c>
      <c r="D50" s="9">
        <v>0.11757187950258501</v>
      </c>
      <c r="F50" s="9">
        <v>2.9675273386154399E-2</v>
      </c>
      <c r="H50" s="16" t="s">
        <v>8</v>
      </c>
      <c r="I50" s="17">
        <v>28326782</v>
      </c>
      <c r="J50" s="9">
        <v>0.11757187950258501</v>
      </c>
      <c r="K50" s="9">
        <v>4.0204072598151099E-2</v>
      </c>
      <c r="L50" s="9">
        <v>2.9675273386154399E-2</v>
      </c>
      <c r="M50" s="9">
        <v>0.49682014754515302</v>
      </c>
    </row>
    <row r="51" spans="2:13" x14ac:dyDescent="0.45">
      <c r="B51" s="16" t="s">
        <v>11</v>
      </c>
      <c r="C51" s="17">
        <v>1143376146.8499999</v>
      </c>
      <c r="D51" s="9">
        <v>0.19535252319664001</v>
      </c>
      <c r="F51" s="9">
        <v>5.5778884180593999E-2</v>
      </c>
      <c r="H51" s="16" t="s">
        <v>11</v>
      </c>
      <c r="I51" s="17">
        <v>1143376146.8499999</v>
      </c>
      <c r="J51" s="9">
        <v>0.19535252319664001</v>
      </c>
      <c r="K51" s="9">
        <v>7.5743759705493893E-2</v>
      </c>
      <c r="L51" s="9">
        <v>5.5778884180593999E-2</v>
      </c>
      <c r="M51" s="9">
        <v>0.49462404715556602</v>
      </c>
    </row>
    <row r="52" spans="2:13" x14ac:dyDescent="0.45">
      <c r="B52" s="15" t="s">
        <v>27</v>
      </c>
      <c r="C52" s="17">
        <v>912418976.51999998</v>
      </c>
      <c r="D52" s="9"/>
      <c r="F52" s="9"/>
      <c r="H52" s="18" t="s">
        <v>27</v>
      </c>
      <c r="I52" s="19">
        <v>912418976.51999998</v>
      </c>
      <c r="J52" s="20">
        <v>1.7948538346914411</v>
      </c>
      <c r="K52" s="20">
        <v>0.69446378802299102</v>
      </c>
      <c r="L52" s="20">
        <v>0.45928081323212877</v>
      </c>
      <c r="M52" s="20">
        <v>2.0662207714020449</v>
      </c>
    </row>
    <row r="53" spans="2:13" x14ac:dyDescent="0.45">
      <c r="B53" s="16" t="s">
        <v>16</v>
      </c>
      <c r="C53" s="17">
        <v>19296577</v>
      </c>
      <c r="D53" s="9">
        <v>0.36538102068568901</v>
      </c>
      <c r="F53" s="9">
        <v>9.0562434985230797E-2</v>
      </c>
      <c r="H53" s="16" t="s">
        <v>16</v>
      </c>
      <c r="I53" s="17">
        <v>19296577</v>
      </c>
      <c r="J53" s="9">
        <v>0.36538102068568901</v>
      </c>
      <c r="K53" s="9">
        <v>0.13535918831614499</v>
      </c>
      <c r="L53" s="9">
        <v>9.0562434985230797E-2</v>
      </c>
      <c r="M53" s="9">
        <v>0.41496865203761701</v>
      </c>
    </row>
    <row r="54" spans="2:13" x14ac:dyDescent="0.45">
      <c r="B54" s="16" t="s">
        <v>14</v>
      </c>
      <c r="C54" s="17">
        <v>38147460</v>
      </c>
      <c r="D54" s="9">
        <v>0.35964530797070099</v>
      </c>
      <c r="F54" s="9">
        <v>9.7280198209789004E-2</v>
      </c>
      <c r="H54" s="16" t="s">
        <v>14</v>
      </c>
      <c r="I54" s="17">
        <v>38147460</v>
      </c>
      <c r="J54" s="9">
        <v>0.35964530797070099</v>
      </c>
      <c r="K54" s="9">
        <v>0.14266012730598501</v>
      </c>
      <c r="L54" s="9">
        <v>9.7280198209789004E-2</v>
      </c>
      <c r="M54" s="9">
        <v>0.41388657214345198</v>
      </c>
    </row>
    <row r="55" spans="2:13" x14ac:dyDescent="0.45">
      <c r="B55" s="16" t="s">
        <v>21</v>
      </c>
      <c r="C55" s="17">
        <v>20795241.670000002</v>
      </c>
      <c r="D55" s="9">
        <v>0.33725673648302401</v>
      </c>
      <c r="F55" s="9">
        <v>7.9782594803573595E-2</v>
      </c>
      <c r="H55" s="16" t="s">
        <v>21</v>
      </c>
      <c r="I55" s="17">
        <v>20795241.670000002</v>
      </c>
      <c r="J55" s="9">
        <v>0.33725673648302401</v>
      </c>
      <c r="K55" s="9">
        <v>0.118937850266397</v>
      </c>
      <c r="L55" s="9">
        <v>7.9782594803573595E-2</v>
      </c>
      <c r="M55" s="9">
        <v>0.41392077008515299</v>
      </c>
    </row>
    <row r="56" spans="2:13" x14ac:dyDescent="0.45">
      <c r="B56" s="16" t="s">
        <v>8</v>
      </c>
      <c r="C56" s="17">
        <v>37828150</v>
      </c>
      <c r="D56" s="9">
        <v>0.35244471035459002</v>
      </c>
      <c r="F56" s="9">
        <v>9.3147589823980206E-2</v>
      </c>
      <c r="H56" s="16" t="s">
        <v>8</v>
      </c>
      <c r="I56" s="17">
        <v>37828150</v>
      </c>
      <c r="J56" s="9">
        <v>0.35244471035459002</v>
      </c>
      <c r="K56" s="9">
        <v>0.142002090242319</v>
      </c>
      <c r="L56" s="9">
        <v>9.3147589823980206E-2</v>
      </c>
      <c r="M56" s="9">
        <v>0.43197492163009399</v>
      </c>
    </row>
    <row r="57" spans="2:13" x14ac:dyDescent="0.45">
      <c r="B57" s="16" t="s">
        <v>11</v>
      </c>
      <c r="C57" s="17">
        <v>796351547.85000002</v>
      </c>
      <c r="D57" s="9">
        <v>0.38012605919743703</v>
      </c>
      <c r="F57" s="9">
        <v>9.8507995409555196E-2</v>
      </c>
      <c r="H57" s="16" t="s">
        <v>11</v>
      </c>
      <c r="I57" s="17">
        <v>796351547.85000002</v>
      </c>
      <c r="J57" s="9">
        <v>0.38012605919743703</v>
      </c>
      <c r="K57" s="9">
        <v>0.155504531892145</v>
      </c>
      <c r="L57" s="9">
        <v>9.8507995409555196E-2</v>
      </c>
      <c r="M57" s="9">
        <v>0.39146985550572899</v>
      </c>
    </row>
    <row r="58" spans="2:13" x14ac:dyDescent="0.45">
      <c r="B58" s="15"/>
      <c r="C58" s="17"/>
      <c r="D58" s="9"/>
      <c r="F58" s="9"/>
    </row>
  </sheetData>
  <mergeCells count="10">
    <mergeCell ref="C15:C17"/>
    <mergeCell ref="D15:D17"/>
    <mergeCell ref="B12:B17"/>
    <mergeCell ref="B6:B11"/>
    <mergeCell ref="C7:C8"/>
    <mergeCell ref="D7:D8"/>
    <mergeCell ref="C9:C11"/>
    <mergeCell ref="D9:D11"/>
    <mergeCell ref="C13:C14"/>
    <mergeCell ref="D13:D1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0FA7-DBE5-4BF7-8E89-E5BB7514607A}">
  <dimension ref="A1:O66"/>
  <sheetViews>
    <sheetView zoomScale="70" zoomScaleNormal="70" workbookViewId="0">
      <selection activeCell="J5" sqref="J5:O33"/>
    </sheetView>
  </sheetViews>
  <sheetFormatPr defaultRowHeight="16.5" x14ac:dyDescent="0.45"/>
  <cols>
    <col min="3" max="3" width="17.07421875" customWidth="1"/>
    <col min="4" max="6" width="12.3828125" bestFit="1" customWidth="1"/>
    <col min="10" max="10" width="19.07421875" bestFit="1" customWidth="1"/>
    <col min="11" max="11" width="22.3046875" bestFit="1" customWidth="1"/>
    <col min="12" max="12" width="19.84375" bestFit="1" customWidth="1"/>
    <col min="13" max="13" width="12" bestFit="1" customWidth="1"/>
    <col min="14" max="14" width="13.07421875" bestFit="1" customWidth="1"/>
    <col min="15" max="15" width="18" bestFit="1" customWidth="1"/>
  </cols>
  <sheetData>
    <row r="1" spans="1:15" ht="4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  <c r="G1" s="1" t="s">
        <v>5</v>
      </c>
      <c r="H1" s="1" t="s">
        <v>65</v>
      </c>
      <c r="I1" s="1"/>
    </row>
    <row r="2" spans="1:15" x14ac:dyDescent="0.45">
      <c r="A2" s="1" t="s">
        <v>9</v>
      </c>
      <c r="B2" s="1" t="s">
        <v>26</v>
      </c>
      <c r="C2" s="1" t="s">
        <v>11</v>
      </c>
      <c r="D2" s="1">
        <v>1143376146.8499999</v>
      </c>
      <c r="E2" s="1">
        <v>0.19535252319664001</v>
      </c>
      <c r="F2" s="1">
        <v>7.5743759705493893E-2</v>
      </c>
      <c r="G2" s="1">
        <v>5.5778884180593999E-2</v>
      </c>
      <c r="H2" s="1">
        <v>0.49462404715556602</v>
      </c>
      <c r="I2" s="1"/>
    </row>
    <row r="3" spans="1:15" x14ac:dyDescent="0.45">
      <c r="A3" s="1" t="s">
        <v>6</v>
      </c>
      <c r="B3" s="1" t="s">
        <v>27</v>
      </c>
      <c r="C3" s="1" t="s">
        <v>21</v>
      </c>
      <c r="D3" s="1">
        <v>20795241.670000002</v>
      </c>
      <c r="E3" s="1">
        <v>0.33725673648302401</v>
      </c>
      <c r="F3" s="1">
        <v>0.118937850266397</v>
      </c>
      <c r="G3" s="1">
        <v>7.9782594803573595E-2</v>
      </c>
      <c r="H3" s="1">
        <v>0.41392077008515299</v>
      </c>
      <c r="I3" s="1"/>
      <c r="J3" s="14" t="s">
        <v>37</v>
      </c>
      <c r="K3" s="9" t="s">
        <v>39</v>
      </c>
      <c r="L3" s="9" t="s">
        <v>50</v>
      </c>
      <c r="M3" s="9" t="s">
        <v>68</v>
      </c>
      <c r="N3" s="9" t="s">
        <v>51</v>
      </c>
      <c r="O3" s="9" t="s">
        <v>66</v>
      </c>
    </row>
    <row r="4" spans="1:15" x14ac:dyDescent="0.45">
      <c r="A4" s="1" t="s">
        <v>9</v>
      </c>
      <c r="B4" s="1" t="s">
        <v>27</v>
      </c>
      <c r="C4" s="1" t="s">
        <v>11</v>
      </c>
      <c r="D4" s="1">
        <v>796351547.85000002</v>
      </c>
      <c r="E4" s="1">
        <v>0.38012605919743703</v>
      </c>
      <c r="F4" s="1">
        <v>0.155504531892145</v>
      </c>
      <c r="G4" s="1">
        <v>9.8507995409555196E-2</v>
      </c>
      <c r="H4" s="1">
        <v>0.39146985550572899</v>
      </c>
      <c r="I4" s="1"/>
      <c r="J4" s="15" t="s">
        <v>7</v>
      </c>
      <c r="K4" s="17">
        <v>3870963190.9800005</v>
      </c>
      <c r="L4" s="9">
        <v>0.1129500673398631</v>
      </c>
      <c r="M4" s="9">
        <v>3.9260776628648686E-2</v>
      </c>
      <c r="N4" s="9">
        <v>3.0013306887336201E-2</v>
      </c>
      <c r="O4" s="9">
        <v>2.3487390790287939</v>
      </c>
    </row>
    <row r="5" spans="1:15" x14ac:dyDescent="0.45">
      <c r="A5" s="1" t="s">
        <v>9</v>
      </c>
      <c r="B5" s="1" t="s">
        <v>24</v>
      </c>
      <c r="C5" s="1" t="s">
        <v>11</v>
      </c>
      <c r="D5" s="1">
        <v>1565460926.01</v>
      </c>
      <c r="E5" s="1">
        <v>0.12667759960987501</v>
      </c>
      <c r="F5" s="1">
        <v>5.1353220648502097E-2</v>
      </c>
      <c r="G5" s="1">
        <v>3.8882955574715598E-2</v>
      </c>
      <c r="H5" s="1">
        <v>0.51405285708670101</v>
      </c>
      <c r="I5" s="1"/>
      <c r="J5" s="16" t="s">
        <v>16</v>
      </c>
      <c r="K5" s="17">
        <v>13946106</v>
      </c>
      <c r="L5" s="9">
        <v>5.9301858167433901E-3</v>
      </c>
      <c r="M5" s="9">
        <v>1.2065016571650899E-3</v>
      </c>
      <c r="N5" s="9">
        <v>8.9308083561103E-4</v>
      </c>
      <c r="O5" s="9">
        <v>0.50455675227837604</v>
      </c>
    </row>
    <row r="6" spans="1:15" x14ac:dyDescent="0.45">
      <c r="A6" s="1" t="s">
        <v>9</v>
      </c>
      <c r="B6" s="1" t="s">
        <v>23</v>
      </c>
      <c r="C6" s="1" t="s">
        <v>11</v>
      </c>
      <c r="D6" s="1">
        <v>1681657010.5899999</v>
      </c>
      <c r="E6" s="1">
        <v>8.7031719011863906E-2</v>
      </c>
      <c r="F6" s="1">
        <v>3.5662307326842599E-2</v>
      </c>
      <c r="G6" s="1">
        <v>2.73743496861165E-2</v>
      </c>
      <c r="H6" s="1">
        <v>0.51484020928919105</v>
      </c>
      <c r="I6" s="1"/>
      <c r="J6" s="16" t="s">
        <v>14</v>
      </c>
      <c r="K6" s="17">
        <v>33033303</v>
      </c>
      <c r="L6" s="9">
        <v>7.8793816046793703E-3</v>
      </c>
      <c r="M6" s="9">
        <v>2.19281735162844E-3</v>
      </c>
      <c r="N6" s="9">
        <v>2.02398773141153E-3</v>
      </c>
      <c r="O6" s="9">
        <v>0.44605379840378301</v>
      </c>
    </row>
    <row r="7" spans="1:15" x14ac:dyDescent="0.45">
      <c r="A7" s="1" t="s">
        <v>6</v>
      </c>
      <c r="B7" s="1" t="s">
        <v>27</v>
      </c>
      <c r="C7" s="1" t="s">
        <v>18</v>
      </c>
      <c r="D7" s="1">
        <v>482097033.67000002</v>
      </c>
      <c r="E7" s="1">
        <v>0.387480466116845</v>
      </c>
      <c r="F7" s="1">
        <v>0.15317520570049301</v>
      </c>
      <c r="G7" s="1">
        <v>9.5711422467670199E-2</v>
      </c>
      <c r="H7" s="1">
        <v>0.389001447178002</v>
      </c>
      <c r="I7" s="1"/>
      <c r="J7" s="16" t="s">
        <v>21</v>
      </c>
      <c r="K7" s="17">
        <v>13599697.32</v>
      </c>
      <c r="L7" s="9">
        <v>6.1141801941221397E-3</v>
      </c>
      <c r="M7" s="9">
        <v>1.10737758684176E-3</v>
      </c>
      <c r="N7" s="9">
        <v>8.4244521994993895E-4</v>
      </c>
      <c r="O7" s="9">
        <v>0.47330677290836598</v>
      </c>
    </row>
    <row r="8" spans="1:15" x14ac:dyDescent="0.45">
      <c r="A8" s="1" t="s">
        <v>13</v>
      </c>
      <c r="B8" s="1" t="s">
        <v>27</v>
      </c>
      <c r="C8" s="1" t="s">
        <v>17</v>
      </c>
      <c r="D8" s="1">
        <v>86677095</v>
      </c>
      <c r="E8" s="1">
        <v>0.405966114692699</v>
      </c>
      <c r="F8" s="1">
        <v>0.17038986043544699</v>
      </c>
      <c r="G8" s="1">
        <v>0.106725663221638</v>
      </c>
      <c r="H8" s="1">
        <v>0.28090500776560401</v>
      </c>
      <c r="I8" s="1"/>
      <c r="J8" s="16" t="s">
        <v>8</v>
      </c>
      <c r="K8" s="17">
        <v>3345902922.3400002</v>
      </c>
      <c r="L8" s="9">
        <v>4.7821159206884102E-2</v>
      </c>
      <c r="M8" s="9">
        <v>1.7066874035324201E-2</v>
      </c>
      <c r="N8" s="9">
        <v>1.2695070011264201E-2</v>
      </c>
      <c r="O8" s="9">
        <v>0.45953852492789399</v>
      </c>
    </row>
    <row r="9" spans="1:15" x14ac:dyDescent="0.45">
      <c r="A9" s="1" t="s">
        <v>13</v>
      </c>
      <c r="B9" s="1" t="s">
        <v>26</v>
      </c>
      <c r="C9" s="1" t="s">
        <v>19</v>
      </c>
      <c r="D9" s="1">
        <v>27804298.84</v>
      </c>
      <c r="E9" s="1">
        <v>0.13934978624334099</v>
      </c>
      <c r="F9" s="1">
        <v>5.0104985851892797E-2</v>
      </c>
      <c r="G9" s="1">
        <v>3.7560954369313601E-2</v>
      </c>
      <c r="H9" s="1">
        <v>0.49227703039362197</v>
      </c>
      <c r="I9" s="1"/>
      <c r="J9" s="16" t="s">
        <v>11</v>
      </c>
      <c r="K9" s="17">
        <v>464481162.31999999</v>
      </c>
      <c r="L9" s="9">
        <v>4.5205160517434097E-2</v>
      </c>
      <c r="M9" s="9">
        <v>1.76872059976892E-2</v>
      </c>
      <c r="N9" s="9">
        <v>1.35587230890995E-2</v>
      </c>
      <c r="O9" s="9">
        <v>0.46528323051037501</v>
      </c>
    </row>
    <row r="10" spans="1:15" x14ac:dyDescent="0.45">
      <c r="A10" s="1" t="s">
        <v>6</v>
      </c>
      <c r="B10" s="1" t="s">
        <v>26</v>
      </c>
      <c r="C10" s="1" t="s">
        <v>18</v>
      </c>
      <c r="D10" s="1">
        <v>597376914.67999995</v>
      </c>
      <c r="E10" s="1">
        <v>0.19420845189865801</v>
      </c>
      <c r="F10" s="1">
        <v>6.9491692999615301E-2</v>
      </c>
      <c r="G10" s="1">
        <v>5.0173412067748703E-2</v>
      </c>
      <c r="H10" s="1">
        <v>0.474491611892841</v>
      </c>
      <c r="I10" s="1"/>
      <c r="J10" s="15" t="s">
        <v>23</v>
      </c>
      <c r="K10" s="17">
        <v>1956896768.27</v>
      </c>
      <c r="L10" s="9">
        <v>0.28168129689513433</v>
      </c>
      <c r="M10" s="9">
        <v>0.1141944331647447</v>
      </c>
      <c r="N10" s="9">
        <v>8.63623225459835E-2</v>
      </c>
      <c r="O10" s="9">
        <v>2.5848101099791991</v>
      </c>
    </row>
    <row r="11" spans="1:15" x14ac:dyDescent="0.45">
      <c r="A11" s="1" t="s">
        <v>13</v>
      </c>
      <c r="B11" s="1" t="s">
        <v>27</v>
      </c>
      <c r="C11" s="1" t="s">
        <v>19</v>
      </c>
      <c r="D11" s="1">
        <v>38146457.200000003</v>
      </c>
      <c r="E11" s="1">
        <v>0.35938894477466699</v>
      </c>
      <c r="F11" s="1">
        <v>0.13732664536931</v>
      </c>
      <c r="G11" s="1">
        <v>9.5277996091338205E-2</v>
      </c>
      <c r="H11" s="1">
        <v>0.42792046396023198</v>
      </c>
      <c r="I11" s="1"/>
      <c r="J11" s="16" t="s">
        <v>16</v>
      </c>
      <c r="K11" s="17">
        <v>12431788</v>
      </c>
      <c r="L11" s="9">
        <v>4.0938439426412301E-2</v>
      </c>
      <c r="M11" s="9">
        <v>2.09154145807505E-2</v>
      </c>
      <c r="N11" s="9">
        <v>1.4452868726525901E-2</v>
      </c>
      <c r="O11" s="9">
        <v>0.53510895883777199</v>
      </c>
    </row>
    <row r="12" spans="1:15" x14ac:dyDescent="0.45">
      <c r="A12" s="1" t="s">
        <v>9</v>
      </c>
      <c r="B12" s="1" t="s">
        <v>7</v>
      </c>
      <c r="C12" s="1" t="s">
        <v>11</v>
      </c>
      <c r="D12" s="1">
        <v>464481162.31999999</v>
      </c>
      <c r="E12" s="1">
        <v>4.5205160517434097E-2</v>
      </c>
      <c r="F12" s="1">
        <v>1.76872059976892E-2</v>
      </c>
      <c r="G12" s="1">
        <v>1.35587230890995E-2</v>
      </c>
      <c r="H12" s="1">
        <v>0.46528323051037501</v>
      </c>
      <c r="I12" s="1"/>
      <c r="J12" s="16" t="s">
        <v>14</v>
      </c>
      <c r="K12" s="17">
        <v>25214595</v>
      </c>
      <c r="L12" s="9">
        <v>3.4233704725378199E-2</v>
      </c>
      <c r="M12" s="9">
        <v>1.2206025914752901E-2</v>
      </c>
      <c r="N12" s="9">
        <v>1.03721673895614E-2</v>
      </c>
      <c r="O12" s="9">
        <v>0.47768654052124199</v>
      </c>
    </row>
    <row r="13" spans="1:15" x14ac:dyDescent="0.45">
      <c r="A13" s="1" t="s">
        <v>6</v>
      </c>
      <c r="B13" s="1" t="s">
        <v>7</v>
      </c>
      <c r="C13" s="1" t="s">
        <v>8</v>
      </c>
      <c r="D13" s="1">
        <v>3345902922.3400002</v>
      </c>
      <c r="E13" s="1">
        <v>4.7821159206884102E-2</v>
      </c>
      <c r="F13" s="1">
        <v>1.7066874035324201E-2</v>
      </c>
      <c r="G13" s="1">
        <v>1.2695070011264201E-2</v>
      </c>
      <c r="H13" s="1">
        <v>0.45953852492789399</v>
      </c>
      <c r="I13" s="1"/>
      <c r="J13" s="16" t="s">
        <v>21</v>
      </c>
      <c r="K13" s="17">
        <v>11290943.34</v>
      </c>
      <c r="L13" s="9">
        <v>3.4906206517196101E-2</v>
      </c>
      <c r="M13" s="9">
        <v>1.5685934705965798E-2</v>
      </c>
      <c r="N13" s="9">
        <v>1.0789266789465599E-2</v>
      </c>
      <c r="O13" s="9">
        <v>0.53882725832012601</v>
      </c>
    </row>
    <row r="14" spans="1:15" x14ac:dyDescent="0.45">
      <c r="A14" s="1" t="s">
        <v>9</v>
      </c>
      <c r="B14" s="1" t="s">
        <v>7</v>
      </c>
      <c r="C14" s="1" t="s">
        <v>10</v>
      </c>
      <c r="D14" s="1">
        <v>483436688</v>
      </c>
      <c r="E14" s="1">
        <v>4.5440084576286802E-2</v>
      </c>
      <c r="F14" s="1">
        <v>1.7319585227673E-2</v>
      </c>
      <c r="G14" s="1">
        <v>1.28187642018596E-2</v>
      </c>
      <c r="H14" s="1">
        <v>0.463166789444035</v>
      </c>
      <c r="I14" s="1"/>
      <c r="J14" s="16" t="s">
        <v>8</v>
      </c>
      <c r="K14" s="17">
        <v>226302431.34</v>
      </c>
      <c r="L14" s="9">
        <v>8.4571227214283798E-2</v>
      </c>
      <c r="M14" s="9">
        <v>2.9724750636432901E-2</v>
      </c>
      <c r="N14" s="9">
        <v>2.33736699543141E-2</v>
      </c>
      <c r="O14" s="9">
        <v>0.51834714301086804</v>
      </c>
    </row>
    <row r="15" spans="1:15" x14ac:dyDescent="0.45">
      <c r="A15" s="1" t="s">
        <v>13</v>
      </c>
      <c r="B15" s="1" t="s">
        <v>24</v>
      </c>
      <c r="C15" s="1" t="s">
        <v>17</v>
      </c>
      <c r="D15" s="1">
        <v>46630628</v>
      </c>
      <c r="E15" s="1">
        <v>7.0181979963898397E-2</v>
      </c>
      <c r="F15" s="1">
        <v>1.9784164176386301E-2</v>
      </c>
      <c r="G15" s="1">
        <v>1.53059913754539E-2</v>
      </c>
      <c r="H15" s="1">
        <v>0.377397896039603</v>
      </c>
      <c r="I15" s="1"/>
      <c r="J15" s="16" t="s">
        <v>11</v>
      </c>
      <c r="K15" s="17">
        <v>1681657010.5899999</v>
      </c>
      <c r="L15" s="9">
        <v>8.7031719011863906E-2</v>
      </c>
      <c r="M15" s="9">
        <v>3.5662307326842599E-2</v>
      </c>
      <c r="N15" s="9">
        <v>2.73743496861165E-2</v>
      </c>
      <c r="O15" s="9">
        <v>0.51484020928919105</v>
      </c>
    </row>
    <row r="16" spans="1:15" x14ac:dyDescent="0.45">
      <c r="A16" s="1" t="s">
        <v>6</v>
      </c>
      <c r="B16" s="1" t="s">
        <v>24</v>
      </c>
      <c r="C16" s="1" t="s">
        <v>20</v>
      </c>
      <c r="D16" s="1">
        <v>65838887</v>
      </c>
      <c r="E16" s="1">
        <v>0.11441481384702</v>
      </c>
      <c r="F16" s="1">
        <v>4.4256671592884003E-2</v>
      </c>
      <c r="G16" s="1">
        <v>3.41035078554714E-2</v>
      </c>
      <c r="H16" s="1">
        <v>0.491349480968858</v>
      </c>
      <c r="I16" s="1"/>
      <c r="J16" s="15" t="s">
        <v>24</v>
      </c>
      <c r="K16" s="17">
        <v>1637159698.1900001</v>
      </c>
      <c r="L16" s="9">
        <v>0.43618914768198169</v>
      </c>
      <c r="M16" s="9">
        <v>0.14415223526192239</v>
      </c>
      <c r="N16" s="9">
        <v>0.10824602084268581</v>
      </c>
      <c r="O16" s="9">
        <v>2.526611956563269</v>
      </c>
    </row>
    <row r="17" spans="1:15" x14ac:dyDescent="0.45">
      <c r="A17" s="1" t="s">
        <v>6</v>
      </c>
      <c r="B17" s="1" t="s">
        <v>24</v>
      </c>
      <c r="C17" s="1" t="s">
        <v>18</v>
      </c>
      <c r="D17" s="1">
        <v>307586726</v>
      </c>
      <c r="E17" s="1">
        <v>0.13073691613076899</v>
      </c>
      <c r="F17" s="1">
        <v>5.2069850569559303E-2</v>
      </c>
      <c r="G17" s="1">
        <v>3.95961095213192E-2</v>
      </c>
      <c r="H17" s="1">
        <v>0.50775229783678399</v>
      </c>
      <c r="I17" s="1"/>
      <c r="J17" s="16" t="s">
        <v>16</v>
      </c>
      <c r="K17" s="17">
        <v>11519369</v>
      </c>
      <c r="L17" s="9">
        <v>8.2802018061926802E-2</v>
      </c>
      <c r="M17" s="9">
        <v>2.8324120878495999E-2</v>
      </c>
      <c r="N17" s="9">
        <v>2.0800965747342502E-2</v>
      </c>
      <c r="O17" s="9">
        <v>0.492600422832981</v>
      </c>
    </row>
    <row r="18" spans="1:15" x14ac:dyDescent="0.45">
      <c r="A18" s="1" t="s">
        <v>6</v>
      </c>
      <c r="B18" s="1" t="s">
        <v>27</v>
      </c>
      <c r="C18" s="1" t="s">
        <v>8</v>
      </c>
      <c r="D18" s="1">
        <v>37828150</v>
      </c>
      <c r="E18" s="1">
        <v>0.35244471035459002</v>
      </c>
      <c r="F18" s="1">
        <v>0.142002090242319</v>
      </c>
      <c r="G18" s="1">
        <v>9.3147589823980206E-2</v>
      </c>
      <c r="H18" s="1">
        <v>0.43197492163009399</v>
      </c>
      <c r="I18" s="1"/>
      <c r="J18" s="16" t="s">
        <v>14</v>
      </c>
      <c r="K18" s="17">
        <v>24200913</v>
      </c>
      <c r="L18" s="9">
        <v>7.7204194734305995E-2</v>
      </c>
      <c r="M18" s="9">
        <v>2.49062091169866E-2</v>
      </c>
      <c r="N18" s="9">
        <v>1.7666151686095401E-2</v>
      </c>
      <c r="O18" s="9">
        <v>0.50341019811627097</v>
      </c>
    </row>
    <row r="19" spans="1:15" x14ac:dyDescent="0.45">
      <c r="A19" s="1" t="s">
        <v>6</v>
      </c>
      <c r="B19" s="1" t="s">
        <v>7</v>
      </c>
      <c r="C19" s="1" t="s">
        <v>22</v>
      </c>
      <c r="D19" s="1">
        <v>32472051</v>
      </c>
      <c r="E19" s="1">
        <v>4.30028272621276E-3</v>
      </c>
      <c r="F19" s="1">
        <v>1.14892650297943E-3</v>
      </c>
      <c r="G19" s="1">
        <v>6.3121975264204897E-4</v>
      </c>
      <c r="H19" s="1">
        <v>0.46588153792864501</v>
      </c>
      <c r="I19" s="1"/>
      <c r="J19" s="16" t="s">
        <v>21</v>
      </c>
      <c r="K19" s="17">
        <v>12290859.18</v>
      </c>
      <c r="L19" s="9">
        <v>7.47918698389968E-2</v>
      </c>
      <c r="M19" s="9">
        <v>1.5216186050225299E-2</v>
      </c>
      <c r="N19" s="9">
        <v>1.25224768867622E-2</v>
      </c>
      <c r="O19" s="9">
        <v>0.516062884483937</v>
      </c>
    </row>
    <row r="20" spans="1:15" x14ac:dyDescent="0.45">
      <c r="A20" s="1" t="s">
        <v>6</v>
      </c>
      <c r="B20" s="1" t="s">
        <v>7</v>
      </c>
      <c r="C20" s="1" t="s">
        <v>12</v>
      </c>
      <c r="D20" s="1">
        <v>30732897</v>
      </c>
      <c r="E20" s="1">
        <v>7.3341930635436002E-3</v>
      </c>
      <c r="F20" s="1">
        <v>9.5051241020330799E-4</v>
      </c>
      <c r="G20" s="1">
        <v>4.8784857476989599E-4</v>
      </c>
      <c r="H20" s="1">
        <v>0.44403236682400499</v>
      </c>
      <c r="I20" s="1"/>
      <c r="J20" s="16" t="s">
        <v>8</v>
      </c>
      <c r="K20" s="17">
        <v>23687631</v>
      </c>
      <c r="L20" s="9">
        <v>7.4713465436877097E-2</v>
      </c>
      <c r="M20" s="9">
        <v>2.4352498567712402E-2</v>
      </c>
      <c r="N20" s="9">
        <v>1.8373470947770101E-2</v>
      </c>
      <c r="O20" s="9">
        <v>0.500485594043379</v>
      </c>
    </row>
    <row r="21" spans="1:15" x14ac:dyDescent="0.45">
      <c r="A21" s="1" t="s">
        <v>6</v>
      </c>
      <c r="B21" s="1" t="s">
        <v>24</v>
      </c>
      <c r="C21" s="1" t="s">
        <v>12</v>
      </c>
      <c r="D21" s="1">
        <v>26276158</v>
      </c>
      <c r="E21" s="1">
        <v>6.6592003290587606E-2</v>
      </c>
      <c r="F21" s="1">
        <v>2.1712496933531899E-2</v>
      </c>
      <c r="G21" s="1">
        <v>1.6423173433498101E-2</v>
      </c>
      <c r="H21" s="1">
        <v>0.50433776749566195</v>
      </c>
      <c r="I21" s="1"/>
      <c r="J21" s="16" t="s">
        <v>11</v>
      </c>
      <c r="K21" s="17">
        <v>1565460926.01</v>
      </c>
      <c r="L21" s="9">
        <v>0.12667759960987501</v>
      </c>
      <c r="M21" s="9">
        <v>5.1353220648502097E-2</v>
      </c>
      <c r="N21" s="9">
        <v>3.8882955574715598E-2</v>
      </c>
      <c r="O21" s="9">
        <v>0.51405285708670101</v>
      </c>
    </row>
    <row r="22" spans="1:15" x14ac:dyDescent="0.45">
      <c r="A22" s="1" t="s">
        <v>6</v>
      </c>
      <c r="B22" s="1" t="s">
        <v>26</v>
      </c>
      <c r="C22" s="1" t="s">
        <v>20</v>
      </c>
      <c r="D22" s="1">
        <v>69858683.670000002</v>
      </c>
      <c r="E22" s="1">
        <v>0.172618826557972</v>
      </c>
      <c r="F22" s="1">
        <v>6.4505023044617499E-2</v>
      </c>
      <c r="G22" s="1">
        <v>4.7017919998548902E-2</v>
      </c>
      <c r="H22" s="1">
        <v>0.48385748615609597</v>
      </c>
      <c r="I22" s="1"/>
      <c r="J22" s="15" t="s">
        <v>26</v>
      </c>
      <c r="K22" s="17">
        <v>1229915995.3499999</v>
      </c>
      <c r="L22" s="9">
        <v>0.699042738885157</v>
      </c>
      <c r="M22" s="9">
        <v>0.24369603796036871</v>
      </c>
      <c r="N22" s="9">
        <v>0.17311885647623701</v>
      </c>
      <c r="O22" s="9">
        <v>2.5011012923836788</v>
      </c>
    </row>
    <row r="23" spans="1:15" x14ac:dyDescent="0.45">
      <c r="A23" s="1" t="s">
        <v>13</v>
      </c>
      <c r="B23" s="1" t="s">
        <v>23</v>
      </c>
      <c r="C23" s="1" t="s">
        <v>19</v>
      </c>
      <c r="D23" s="1">
        <v>23878036</v>
      </c>
      <c r="E23" s="1">
        <v>3.5273755345707598E-2</v>
      </c>
      <c r="F23" s="1">
        <v>9.3522767115352297E-3</v>
      </c>
      <c r="G23" s="1">
        <v>7.5896108038366302E-3</v>
      </c>
      <c r="H23" s="1">
        <v>0.49427410417436202</v>
      </c>
      <c r="I23" s="1"/>
      <c r="J23" s="16" t="s">
        <v>16</v>
      </c>
      <c r="K23" s="17">
        <v>14666736</v>
      </c>
      <c r="L23" s="9">
        <v>0.12092786015920599</v>
      </c>
      <c r="M23" s="9">
        <v>3.6886666535758103E-2</v>
      </c>
      <c r="N23" s="9">
        <v>2.1340560026443502E-2</v>
      </c>
      <c r="O23" s="9">
        <v>0.49247412982125999</v>
      </c>
    </row>
    <row r="24" spans="1:15" x14ac:dyDescent="0.45">
      <c r="A24" s="1" t="s">
        <v>13</v>
      </c>
      <c r="B24" s="1" t="s">
        <v>26</v>
      </c>
      <c r="C24" s="1" t="s">
        <v>14</v>
      </c>
      <c r="D24" s="1">
        <v>28122948</v>
      </c>
      <c r="E24" s="1">
        <v>0.147965995599038</v>
      </c>
      <c r="F24" s="1">
        <v>5.1564971069177998E-2</v>
      </c>
      <c r="G24" s="1">
        <v>3.9188068050333799E-2</v>
      </c>
      <c r="H24" s="1">
        <v>0.51084812623274101</v>
      </c>
      <c r="I24" s="1"/>
      <c r="J24" s="16" t="s">
        <v>14</v>
      </c>
      <c r="K24" s="17">
        <v>28122948</v>
      </c>
      <c r="L24" s="9">
        <v>0.147965995599038</v>
      </c>
      <c r="M24" s="9">
        <v>5.1564971069177998E-2</v>
      </c>
      <c r="N24" s="9">
        <v>3.9188068050333799E-2</v>
      </c>
      <c r="O24" s="9">
        <v>0.51084812623274101</v>
      </c>
    </row>
    <row r="25" spans="1:15" x14ac:dyDescent="0.45">
      <c r="A25" s="1" t="s">
        <v>13</v>
      </c>
      <c r="B25" s="1" t="s">
        <v>23</v>
      </c>
      <c r="C25" s="1" t="s">
        <v>14</v>
      </c>
      <c r="D25" s="1">
        <v>25214595</v>
      </c>
      <c r="E25" s="1">
        <v>3.4233704725378199E-2</v>
      </c>
      <c r="F25" s="1">
        <v>1.2206025914752901E-2</v>
      </c>
      <c r="G25" s="1">
        <v>1.03721673895614E-2</v>
      </c>
      <c r="H25" s="1">
        <v>0.47768654052124199</v>
      </c>
      <c r="I25" s="1"/>
      <c r="J25" s="16" t="s">
        <v>21</v>
      </c>
      <c r="K25" s="17">
        <v>15423382.5</v>
      </c>
      <c r="L25" s="9">
        <v>0.117224480427688</v>
      </c>
      <c r="M25" s="9">
        <v>3.9296568051787599E-2</v>
      </c>
      <c r="N25" s="9">
        <v>2.7136070832711301E-2</v>
      </c>
      <c r="O25" s="9">
        <v>0.50633484162895903</v>
      </c>
    </row>
    <row r="26" spans="1:15" x14ac:dyDescent="0.45">
      <c r="A26" s="1" t="s">
        <v>13</v>
      </c>
      <c r="B26" s="1" t="s">
        <v>27</v>
      </c>
      <c r="C26" s="1" t="s">
        <v>14</v>
      </c>
      <c r="D26" s="1">
        <v>38147460</v>
      </c>
      <c r="E26" s="1">
        <v>0.35964530797070099</v>
      </c>
      <c r="F26" s="1">
        <v>0.14266012730598501</v>
      </c>
      <c r="G26" s="1">
        <v>9.7280198209789004E-2</v>
      </c>
      <c r="H26" s="1">
        <v>0.41388657214345198</v>
      </c>
      <c r="I26" s="1"/>
      <c r="J26" s="16" t="s">
        <v>8</v>
      </c>
      <c r="K26" s="17">
        <v>28326782</v>
      </c>
      <c r="L26" s="9">
        <v>0.11757187950258501</v>
      </c>
      <c r="M26" s="9">
        <v>4.0204072598151099E-2</v>
      </c>
      <c r="N26" s="9">
        <v>2.9675273386154399E-2</v>
      </c>
      <c r="O26" s="9">
        <v>0.49682014754515302</v>
      </c>
    </row>
    <row r="27" spans="1:15" x14ac:dyDescent="0.45">
      <c r="A27" s="1" t="s">
        <v>6</v>
      </c>
      <c r="B27" s="1" t="s">
        <v>24</v>
      </c>
      <c r="C27" s="1" t="s">
        <v>22</v>
      </c>
      <c r="D27" s="1">
        <v>25920416</v>
      </c>
      <c r="E27" s="1">
        <v>6.6692911101426694E-2</v>
      </c>
      <c r="F27" s="1">
        <v>2.33226966727694E-2</v>
      </c>
      <c r="G27" s="1">
        <v>1.7602572427849902E-2</v>
      </c>
      <c r="H27" s="1">
        <v>0.477870628288455</v>
      </c>
      <c r="I27" s="1"/>
      <c r="J27" s="16" t="s">
        <v>11</v>
      </c>
      <c r="K27" s="17">
        <v>1143376146.8499999</v>
      </c>
      <c r="L27" s="9">
        <v>0.19535252319664001</v>
      </c>
      <c r="M27" s="9">
        <v>7.5743759705493893E-2</v>
      </c>
      <c r="N27" s="9">
        <v>5.5778884180593999E-2</v>
      </c>
      <c r="O27" s="9">
        <v>0.49462404715556602</v>
      </c>
    </row>
    <row r="28" spans="1:15" x14ac:dyDescent="0.45">
      <c r="A28" s="1" t="s">
        <v>13</v>
      </c>
      <c r="B28" s="1" t="s">
        <v>7</v>
      </c>
      <c r="C28" s="1" t="s">
        <v>17</v>
      </c>
      <c r="D28" s="1">
        <v>70008704</v>
      </c>
      <c r="E28" s="1">
        <v>4.1404423084306701E-3</v>
      </c>
      <c r="F28" s="1">
        <v>4.3168917967685799E-4</v>
      </c>
      <c r="G28" s="1">
        <v>3.0471925319457398E-4</v>
      </c>
      <c r="H28" s="1">
        <v>0.35588024264561902</v>
      </c>
      <c r="I28" s="1"/>
      <c r="J28" s="15" t="s">
        <v>27</v>
      </c>
      <c r="K28" s="17">
        <v>912418976.51999998</v>
      </c>
      <c r="L28" s="9">
        <v>1.7948538346914411</v>
      </c>
      <c r="M28" s="9">
        <v>0.69446378802299102</v>
      </c>
      <c r="N28" s="9">
        <v>0.45928081323212877</v>
      </c>
      <c r="O28" s="9">
        <v>2.0662207714020449</v>
      </c>
    </row>
    <row r="29" spans="1:15" x14ac:dyDescent="0.45">
      <c r="A29" s="1" t="s">
        <v>13</v>
      </c>
      <c r="B29" s="1" t="s">
        <v>23</v>
      </c>
      <c r="C29" s="1" t="s">
        <v>17</v>
      </c>
      <c r="D29" s="1">
        <v>47892657.340000004</v>
      </c>
      <c r="E29" s="1">
        <v>3.09130268026175E-2</v>
      </c>
      <c r="F29" s="1">
        <v>9.0367088409298094E-3</v>
      </c>
      <c r="G29" s="1">
        <v>6.9820723796154196E-3</v>
      </c>
      <c r="H29" s="1">
        <v>0.39119844105228901</v>
      </c>
      <c r="I29" s="1"/>
      <c r="J29" s="16" t="s">
        <v>16</v>
      </c>
      <c r="K29" s="17">
        <v>19296577</v>
      </c>
      <c r="L29" s="9">
        <v>0.36538102068568901</v>
      </c>
      <c r="M29" s="9">
        <v>0.13535918831614499</v>
      </c>
      <c r="N29" s="9">
        <v>9.0562434985230797E-2</v>
      </c>
      <c r="O29" s="9">
        <v>0.41496865203761701</v>
      </c>
    </row>
    <row r="30" spans="1:15" x14ac:dyDescent="0.45">
      <c r="A30" s="1" t="s">
        <v>6</v>
      </c>
      <c r="B30" s="1" t="s">
        <v>23</v>
      </c>
      <c r="C30" s="1" t="s">
        <v>18</v>
      </c>
      <c r="D30" s="1">
        <v>387429007.63</v>
      </c>
      <c r="E30" s="1">
        <v>8.8737930880056895E-2</v>
      </c>
      <c r="F30" s="1">
        <v>3.4325231818213002E-2</v>
      </c>
      <c r="G30" s="1">
        <v>2.6845496891479099E-2</v>
      </c>
      <c r="H30" s="1">
        <v>0.50594977597165702</v>
      </c>
      <c r="I30" s="1"/>
      <c r="J30" s="16" t="s">
        <v>14</v>
      </c>
      <c r="K30" s="17">
        <v>38147460</v>
      </c>
      <c r="L30" s="9">
        <v>0.35964530797070099</v>
      </c>
      <c r="M30" s="9">
        <v>0.14266012730598501</v>
      </c>
      <c r="N30" s="9">
        <v>9.7280198209789004E-2</v>
      </c>
      <c r="O30" s="9">
        <v>0.41388657214345198</v>
      </c>
    </row>
    <row r="31" spans="1:15" x14ac:dyDescent="0.45">
      <c r="A31" s="1" t="s">
        <v>6</v>
      </c>
      <c r="B31" s="1" t="s">
        <v>7</v>
      </c>
      <c r="C31" s="1" t="s">
        <v>15</v>
      </c>
      <c r="D31" s="1">
        <v>34556201</v>
      </c>
      <c r="E31" s="1">
        <v>8.37722294762667E-3</v>
      </c>
      <c r="F31" s="1">
        <v>2.42214125331659E-3</v>
      </c>
      <c r="G31" s="1">
        <v>1.84035160577981E-3</v>
      </c>
      <c r="H31" s="1">
        <v>0.46394799054373498</v>
      </c>
      <c r="I31" s="1"/>
      <c r="J31" s="16" t="s">
        <v>21</v>
      </c>
      <c r="K31" s="17">
        <v>20795241.670000002</v>
      </c>
      <c r="L31" s="9">
        <v>0.33725673648302401</v>
      </c>
      <c r="M31" s="9">
        <v>0.118937850266397</v>
      </c>
      <c r="N31" s="9">
        <v>7.9782594803573595E-2</v>
      </c>
      <c r="O31" s="9">
        <v>0.41392077008515299</v>
      </c>
    </row>
    <row r="32" spans="1:15" x14ac:dyDescent="0.45">
      <c r="A32" s="1" t="s">
        <v>6</v>
      </c>
      <c r="B32" s="1" t="s">
        <v>23</v>
      </c>
      <c r="C32" s="1" t="s">
        <v>8</v>
      </c>
      <c r="D32" s="1">
        <v>226302431.34</v>
      </c>
      <c r="E32" s="1">
        <v>8.4571227214283798E-2</v>
      </c>
      <c r="F32" s="1">
        <v>2.9724750636432901E-2</v>
      </c>
      <c r="G32" s="1">
        <v>2.33736699543141E-2</v>
      </c>
      <c r="H32" s="1">
        <v>0.51834714301086804</v>
      </c>
      <c r="I32" s="1"/>
      <c r="J32" s="16" t="s">
        <v>8</v>
      </c>
      <c r="K32" s="17">
        <v>37828150</v>
      </c>
      <c r="L32" s="9">
        <v>0.35244471035459002</v>
      </c>
      <c r="M32" s="9">
        <v>0.142002090242319</v>
      </c>
      <c r="N32" s="9">
        <v>9.3147589823980206E-2</v>
      </c>
      <c r="O32" s="9">
        <v>0.43197492163009399</v>
      </c>
    </row>
    <row r="33" spans="1:15" x14ac:dyDescent="0.45">
      <c r="A33" s="1" t="s">
        <v>6</v>
      </c>
      <c r="B33" s="1" t="s">
        <v>27</v>
      </c>
      <c r="C33" s="1" t="s">
        <v>20</v>
      </c>
      <c r="D33" s="1">
        <v>339287897.33999997</v>
      </c>
      <c r="E33" s="1">
        <v>0.38009550040261902</v>
      </c>
      <c r="F33" s="1">
        <v>0.14909736948060601</v>
      </c>
      <c r="G33" s="1">
        <v>8.8933416595648906E-2</v>
      </c>
      <c r="H33" s="1">
        <v>0.360386473429951</v>
      </c>
      <c r="I33" s="1"/>
      <c r="J33" s="16" t="s">
        <v>11</v>
      </c>
      <c r="K33" s="17">
        <v>796351547.85000002</v>
      </c>
      <c r="L33" s="9">
        <v>0.38012605919743703</v>
      </c>
      <c r="M33" s="9">
        <v>0.155504531892145</v>
      </c>
      <c r="N33" s="9">
        <v>9.8507995409555196E-2</v>
      </c>
      <c r="O33" s="9">
        <v>0.39146985550572899</v>
      </c>
    </row>
    <row r="34" spans="1:15" x14ac:dyDescent="0.45">
      <c r="A34" s="1" t="s">
        <v>6</v>
      </c>
      <c r="B34" s="1" t="s">
        <v>23</v>
      </c>
      <c r="C34" s="1" t="s">
        <v>12</v>
      </c>
      <c r="D34" s="1">
        <v>26513428</v>
      </c>
      <c r="E34" s="1">
        <v>3.3162403594133499E-2</v>
      </c>
      <c r="F34" s="1">
        <v>1.20530434615999E-2</v>
      </c>
      <c r="G34" s="1">
        <v>9.3874507664569E-3</v>
      </c>
      <c r="H34" s="1">
        <v>0.50519262981574498</v>
      </c>
      <c r="I34" s="1"/>
      <c r="J34" s="15" t="s">
        <v>38</v>
      </c>
      <c r="K34" s="17">
        <v>9607354629.3100014</v>
      </c>
      <c r="L34" s="9">
        <v>3.3247170854935768</v>
      </c>
      <c r="M34" s="9">
        <v>1.2357672710386756</v>
      </c>
      <c r="N34" s="9">
        <v>0.85702131998437137</v>
      </c>
      <c r="O34" s="9">
        <v>12.027483209356983</v>
      </c>
    </row>
    <row r="35" spans="1:15" x14ac:dyDescent="0.45">
      <c r="A35" s="1" t="s">
        <v>6</v>
      </c>
      <c r="B35" s="1" t="s">
        <v>24</v>
      </c>
      <c r="C35" s="1" t="s">
        <v>15</v>
      </c>
      <c r="D35" s="1">
        <v>23683202</v>
      </c>
      <c r="E35" s="1">
        <v>7.3274037860252106E-2</v>
      </c>
      <c r="F35" s="1">
        <v>2.6135099468391099E-2</v>
      </c>
      <c r="G35" s="1">
        <v>2.2130957629800201E-2</v>
      </c>
      <c r="H35" s="1">
        <v>0.51314924391847405</v>
      </c>
      <c r="I35" s="1"/>
    </row>
    <row r="36" spans="1:15" x14ac:dyDescent="0.45">
      <c r="A36" s="1" t="s">
        <v>6</v>
      </c>
      <c r="B36" s="1" t="s">
        <v>23</v>
      </c>
      <c r="C36" s="1" t="s">
        <v>21</v>
      </c>
      <c r="D36" s="1">
        <v>11290943.34</v>
      </c>
      <c r="E36" s="1">
        <v>3.4906206517196101E-2</v>
      </c>
      <c r="F36" s="1">
        <v>1.5685934705965798E-2</v>
      </c>
      <c r="G36" s="1">
        <v>1.0789266789465599E-2</v>
      </c>
      <c r="H36" s="1">
        <v>0.53882725832012601</v>
      </c>
      <c r="I36" s="1"/>
    </row>
    <row r="37" spans="1:15" x14ac:dyDescent="0.45">
      <c r="A37" s="1" t="s">
        <v>13</v>
      </c>
      <c r="B37" s="1" t="s">
        <v>24</v>
      </c>
      <c r="C37" s="1" t="s">
        <v>14</v>
      </c>
      <c r="D37" s="1">
        <v>24200913</v>
      </c>
      <c r="E37" s="1">
        <v>7.7204194734305995E-2</v>
      </c>
      <c r="F37" s="1">
        <v>2.49062091169866E-2</v>
      </c>
      <c r="G37" s="1">
        <v>1.7666151686095401E-2</v>
      </c>
      <c r="H37" s="1">
        <v>0.50341019811627097</v>
      </c>
      <c r="I37" s="1"/>
    </row>
    <row r="38" spans="1:15" x14ac:dyDescent="0.45">
      <c r="A38" s="1" t="s">
        <v>6</v>
      </c>
      <c r="B38" s="1" t="s">
        <v>26</v>
      </c>
      <c r="C38" s="1" t="s">
        <v>8</v>
      </c>
      <c r="D38" s="1">
        <v>28326782</v>
      </c>
      <c r="E38" s="1">
        <v>0.11757187950258501</v>
      </c>
      <c r="F38" s="1">
        <v>4.0204072598151099E-2</v>
      </c>
      <c r="G38" s="1">
        <v>2.9675273386154399E-2</v>
      </c>
      <c r="H38" s="1">
        <v>0.49682014754515302</v>
      </c>
      <c r="I38" s="1"/>
    </row>
    <row r="39" spans="1:15" x14ac:dyDescent="0.45">
      <c r="A39" s="1" t="s">
        <v>13</v>
      </c>
      <c r="B39" s="1" t="s">
        <v>7</v>
      </c>
      <c r="C39" s="1" t="s">
        <v>14</v>
      </c>
      <c r="D39" s="1">
        <v>33033303</v>
      </c>
      <c r="E39" s="1">
        <v>7.8793816046793703E-3</v>
      </c>
      <c r="F39" s="1">
        <v>2.19281735162844E-3</v>
      </c>
      <c r="G39" s="1">
        <v>2.02398773141153E-3</v>
      </c>
      <c r="H39" s="1">
        <v>0.44605379840378301</v>
      </c>
      <c r="I39" s="1"/>
    </row>
    <row r="40" spans="1:15" x14ac:dyDescent="0.45">
      <c r="A40" s="1" t="s">
        <v>13</v>
      </c>
      <c r="B40" s="1" t="s">
        <v>26</v>
      </c>
      <c r="C40" s="1" t="s">
        <v>17</v>
      </c>
      <c r="D40" s="1">
        <v>57233147</v>
      </c>
      <c r="E40" s="1">
        <v>0.144473747180108</v>
      </c>
      <c r="F40" s="1">
        <v>4.6758086009144301E-2</v>
      </c>
      <c r="G40" s="1">
        <v>3.4061571173082603E-2</v>
      </c>
      <c r="H40" s="1">
        <v>0.36177914110429399</v>
      </c>
      <c r="I40" s="1"/>
    </row>
    <row r="41" spans="1:15" x14ac:dyDescent="0.45">
      <c r="A41" s="1" t="s">
        <v>6</v>
      </c>
      <c r="B41" s="1" t="s">
        <v>7</v>
      </c>
      <c r="C41" s="1" t="s">
        <v>18</v>
      </c>
      <c r="D41" s="1">
        <v>378592916.26999998</v>
      </c>
      <c r="E41" s="1">
        <v>4.6273657660055402E-2</v>
      </c>
      <c r="F41" s="1">
        <v>1.6572978205237399E-2</v>
      </c>
      <c r="G41" s="1">
        <v>1.22494725355416E-2</v>
      </c>
      <c r="H41" s="1">
        <v>0.451895902025435</v>
      </c>
      <c r="I41" s="1"/>
    </row>
    <row r="42" spans="1:15" x14ac:dyDescent="0.45">
      <c r="A42" s="1" t="s">
        <v>6</v>
      </c>
      <c r="B42" s="1" t="s">
        <v>27</v>
      </c>
      <c r="C42" s="1" t="s">
        <v>22</v>
      </c>
      <c r="D42" s="1">
        <v>39537199.340000004</v>
      </c>
      <c r="E42" s="1">
        <v>0.34825125400498302</v>
      </c>
      <c r="F42" s="1">
        <v>0.132664341874449</v>
      </c>
      <c r="G42" s="1">
        <v>8.8177301078402506E-2</v>
      </c>
      <c r="H42" s="1">
        <v>0.400651465798045</v>
      </c>
      <c r="I42" s="1"/>
    </row>
    <row r="43" spans="1:15" x14ac:dyDescent="0.45">
      <c r="A43" s="1" t="s">
        <v>6</v>
      </c>
      <c r="B43" s="1" t="s">
        <v>27</v>
      </c>
      <c r="C43" s="1" t="s">
        <v>12</v>
      </c>
      <c r="D43" s="1">
        <v>36434082</v>
      </c>
      <c r="E43" s="1">
        <v>0.35132212196261697</v>
      </c>
      <c r="F43" s="1">
        <v>0.141429321589603</v>
      </c>
      <c r="G43" s="1">
        <v>9.6733821370880102E-2</v>
      </c>
      <c r="H43" s="1">
        <v>0.40277490163594898</v>
      </c>
      <c r="I43" s="1"/>
    </row>
    <row r="44" spans="1:15" x14ac:dyDescent="0.45">
      <c r="A44" s="1" t="s">
        <v>6</v>
      </c>
      <c r="B44" s="1" t="s">
        <v>26</v>
      </c>
      <c r="C44" s="1" t="s">
        <v>12</v>
      </c>
      <c r="D44" s="1">
        <v>28224861</v>
      </c>
      <c r="E44" s="1">
        <v>0.12792512352850899</v>
      </c>
      <c r="F44" s="1">
        <v>4.4067568658708298E-2</v>
      </c>
      <c r="G44" s="1">
        <v>3.21168150305505E-2</v>
      </c>
      <c r="H44" s="1">
        <v>0.482800096223237</v>
      </c>
      <c r="I44" s="1"/>
    </row>
    <row r="45" spans="1:15" x14ac:dyDescent="0.45">
      <c r="A45" s="1" t="s">
        <v>13</v>
      </c>
      <c r="B45" s="1" t="s">
        <v>24</v>
      </c>
      <c r="C45" s="1" t="s">
        <v>16</v>
      </c>
      <c r="D45" s="1">
        <v>11519369</v>
      </c>
      <c r="E45" s="1">
        <v>8.2802018061926802E-2</v>
      </c>
      <c r="F45" s="1">
        <v>2.8324120878495999E-2</v>
      </c>
      <c r="G45" s="1">
        <v>2.0800965747342502E-2</v>
      </c>
      <c r="H45" s="1">
        <v>0.492600422832981</v>
      </c>
      <c r="I45" s="1"/>
    </row>
    <row r="46" spans="1:15" x14ac:dyDescent="0.45">
      <c r="A46" s="1" t="s">
        <v>6</v>
      </c>
      <c r="B46" s="1" t="s">
        <v>26</v>
      </c>
      <c r="C46" s="1" t="s">
        <v>22</v>
      </c>
      <c r="D46" s="1">
        <v>29861077</v>
      </c>
      <c r="E46" s="1">
        <v>0.12664261908570801</v>
      </c>
      <c r="F46" s="1">
        <v>4.2806995876270598E-2</v>
      </c>
      <c r="G46" s="1">
        <v>3.1650566387809699E-2</v>
      </c>
      <c r="H46" s="1">
        <v>0.47453022413402701</v>
      </c>
      <c r="I46" s="1"/>
    </row>
    <row r="47" spans="1:15" x14ac:dyDescent="0.45">
      <c r="A47" s="1" t="s">
        <v>6</v>
      </c>
      <c r="B47" s="1" t="s">
        <v>23</v>
      </c>
      <c r="C47" s="1" t="s">
        <v>20</v>
      </c>
      <c r="D47" s="1">
        <v>314300652</v>
      </c>
      <c r="E47" s="1">
        <v>8.5280039158175197E-2</v>
      </c>
      <c r="F47" s="1">
        <v>3.2017308669152797E-2</v>
      </c>
      <c r="G47" s="1">
        <v>2.4300481247490301E-2</v>
      </c>
      <c r="H47" s="1">
        <v>0.48143259196533</v>
      </c>
      <c r="I47" s="1"/>
    </row>
    <row r="48" spans="1:15" x14ac:dyDescent="0.45">
      <c r="A48" s="1" t="s">
        <v>6</v>
      </c>
      <c r="B48" s="1" t="s">
        <v>23</v>
      </c>
      <c r="C48" s="1" t="s">
        <v>15</v>
      </c>
      <c r="D48" s="1">
        <v>24941536</v>
      </c>
      <c r="E48" s="1">
        <v>3.57680417116251E-2</v>
      </c>
      <c r="F48" s="1">
        <v>1.2046250880459001E-2</v>
      </c>
      <c r="G48" s="1">
        <v>8.6627784271185206E-3</v>
      </c>
      <c r="H48" s="1">
        <v>0.48363252375923899</v>
      </c>
      <c r="I48" s="1"/>
    </row>
    <row r="49" spans="1:9" x14ac:dyDescent="0.45">
      <c r="A49" s="1" t="s">
        <v>6</v>
      </c>
      <c r="B49" s="1" t="s">
        <v>7</v>
      </c>
      <c r="C49" s="1" t="s">
        <v>20</v>
      </c>
      <c r="D49" s="1">
        <v>654029868.60000002</v>
      </c>
      <c r="E49" s="1">
        <v>4.3199965378461901E-2</v>
      </c>
      <c r="F49" s="1">
        <v>1.5761712277860301E-2</v>
      </c>
      <c r="G49" s="1">
        <v>1.1490743880072299E-2</v>
      </c>
      <c r="H49" s="1">
        <v>0.43354527657784397</v>
      </c>
      <c r="I49" s="1"/>
    </row>
    <row r="50" spans="1:9" x14ac:dyDescent="0.45">
      <c r="A50" s="1" t="s">
        <v>13</v>
      </c>
      <c r="B50" s="1" t="s">
        <v>7</v>
      </c>
      <c r="C50" s="1" t="s">
        <v>19</v>
      </c>
      <c r="D50" s="1">
        <v>31993946</v>
      </c>
      <c r="E50" s="1">
        <v>4.4512483705510999E-3</v>
      </c>
      <c r="F50" s="1">
        <v>6.7600289129699702E-4</v>
      </c>
      <c r="G50" s="1">
        <v>5.3710161291139298E-4</v>
      </c>
      <c r="H50" s="1">
        <v>0.49561557348298801</v>
      </c>
      <c r="I50" s="1"/>
    </row>
    <row r="51" spans="1:9" x14ac:dyDescent="0.45">
      <c r="A51" s="1" t="s">
        <v>6</v>
      </c>
      <c r="B51" s="1" t="s">
        <v>26</v>
      </c>
      <c r="C51" s="1" t="s">
        <v>15</v>
      </c>
      <c r="D51" s="1">
        <v>27119202</v>
      </c>
      <c r="E51" s="1">
        <v>0.12529727091527201</v>
      </c>
      <c r="F51" s="1">
        <v>3.7584806514586899E-2</v>
      </c>
      <c r="G51" s="1">
        <v>2.8097359206956E-2</v>
      </c>
      <c r="H51" s="1">
        <v>0.49075500770415997</v>
      </c>
      <c r="I51" s="1"/>
    </row>
    <row r="52" spans="1:9" x14ac:dyDescent="0.45">
      <c r="A52" s="1" t="s">
        <v>6</v>
      </c>
      <c r="B52" s="1" t="s">
        <v>24</v>
      </c>
      <c r="C52" s="1" t="s">
        <v>8</v>
      </c>
      <c r="D52" s="1">
        <v>23687631</v>
      </c>
      <c r="E52" s="1">
        <v>7.4713465436877097E-2</v>
      </c>
      <c r="F52" s="1">
        <v>2.4352498567712402E-2</v>
      </c>
      <c r="G52" s="1">
        <v>1.8373470947770101E-2</v>
      </c>
      <c r="H52" s="1">
        <v>0.500485594043379</v>
      </c>
      <c r="I52" s="1"/>
    </row>
    <row r="53" spans="1:9" x14ac:dyDescent="0.45">
      <c r="A53" s="1" t="s">
        <v>13</v>
      </c>
      <c r="B53" s="1" t="s">
        <v>27</v>
      </c>
      <c r="C53" s="1" t="s">
        <v>16</v>
      </c>
      <c r="D53" s="1">
        <v>19296577</v>
      </c>
      <c r="E53" s="1">
        <v>0.36538102068568901</v>
      </c>
      <c r="F53" s="1">
        <v>0.13535918831614499</v>
      </c>
      <c r="G53" s="1">
        <v>9.0562434985230797E-2</v>
      </c>
      <c r="H53" s="1">
        <v>0.41496865203761701</v>
      </c>
      <c r="I53" s="1"/>
    </row>
    <row r="54" spans="1:9" x14ac:dyDescent="0.45">
      <c r="A54" s="1" t="s">
        <v>6</v>
      </c>
      <c r="B54" s="1" t="s">
        <v>27</v>
      </c>
      <c r="C54" s="1" t="s">
        <v>15</v>
      </c>
      <c r="D54" s="1">
        <v>35965375</v>
      </c>
      <c r="E54" s="1">
        <v>0.360353395453265</v>
      </c>
      <c r="F54" s="1">
        <v>0.151323840221323</v>
      </c>
      <c r="G54" s="1">
        <v>0.10346430865797999</v>
      </c>
      <c r="H54" s="1">
        <v>0.40918208156897701</v>
      </c>
      <c r="I54" s="1"/>
    </row>
    <row r="55" spans="1:9" x14ac:dyDescent="0.45">
      <c r="A55" s="1" t="s">
        <v>13</v>
      </c>
      <c r="B55" s="1" t="s">
        <v>7</v>
      </c>
      <c r="C55" s="1" t="s">
        <v>16</v>
      </c>
      <c r="D55" s="1">
        <v>13946106</v>
      </c>
      <c r="E55" s="1">
        <v>5.9301858167433901E-3</v>
      </c>
      <c r="F55" s="1">
        <v>1.2065016571650899E-3</v>
      </c>
      <c r="G55" s="1">
        <v>8.9308083561103E-4</v>
      </c>
      <c r="H55" s="1">
        <v>0.50455675227837604</v>
      </c>
      <c r="I55" s="1"/>
    </row>
    <row r="56" spans="1:9" x14ac:dyDescent="0.45">
      <c r="A56" s="1" t="s">
        <v>6</v>
      </c>
      <c r="B56" s="1" t="s">
        <v>23</v>
      </c>
      <c r="C56" s="1" t="s">
        <v>22</v>
      </c>
      <c r="D56" s="1">
        <v>25867015.649999999</v>
      </c>
      <c r="E56" s="1">
        <v>3.5076833457592903E-2</v>
      </c>
      <c r="F56" s="1">
        <v>1.13244992759727E-2</v>
      </c>
      <c r="G56" s="1">
        <v>8.0746462145508402E-3</v>
      </c>
      <c r="H56" s="1">
        <v>0.50666666666666604</v>
      </c>
      <c r="I56" s="1"/>
    </row>
    <row r="57" spans="1:9" x14ac:dyDescent="0.45">
      <c r="A57" s="1" t="s">
        <v>6</v>
      </c>
      <c r="B57" s="1" t="s">
        <v>26</v>
      </c>
      <c r="C57" s="1" t="s">
        <v>21</v>
      </c>
      <c r="D57" s="1">
        <v>15423382.5</v>
      </c>
      <c r="E57" s="1">
        <v>0.117224480427688</v>
      </c>
      <c r="F57" s="1">
        <v>3.9296568051787599E-2</v>
      </c>
      <c r="G57" s="1">
        <v>2.7136070832711301E-2</v>
      </c>
      <c r="H57" s="1">
        <v>0.50633484162895903</v>
      </c>
      <c r="I57" s="1"/>
    </row>
    <row r="58" spans="1:9" x14ac:dyDescent="0.45">
      <c r="A58" s="1" t="s">
        <v>13</v>
      </c>
      <c r="B58" s="1" t="s">
        <v>24</v>
      </c>
      <c r="C58" s="1" t="s">
        <v>19</v>
      </c>
      <c r="D58" s="1">
        <v>23870538</v>
      </c>
      <c r="E58" s="1">
        <v>7.8406485852979005E-2</v>
      </c>
      <c r="F58" s="1">
        <v>2.09369390836519E-2</v>
      </c>
      <c r="G58" s="1">
        <v>1.60713595981791E-2</v>
      </c>
      <c r="H58" s="1">
        <v>0.52634982217911397</v>
      </c>
      <c r="I58" s="1"/>
    </row>
    <row r="59" spans="1:9" x14ac:dyDescent="0.45">
      <c r="A59" s="1" t="s">
        <v>13</v>
      </c>
      <c r="B59" s="1" t="s">
        <v>26</v>
      </c>
      <c r="C59" s="1" t="s">
        <v>16</v>
      </c>
      <c r="D59" s="1">
        <v>14666736</v>
      </c>
      <c r="E59" s="1">
        <v>0.12092786015920599</v>
      </c>
      <c r="F59" s="1">
        <v>3.6886666535758103E-2</v>
      </c>
      <c r="G59" s="1">
        <v>2.1340560026443502E-2</v>
      </c>
      <c r="H59" s="1">
        <v>0.49247412982125999</v>
      </c>
      <c r="I59" s="1"/>
    </row>
    <row r="60" spans="1:9" x14ac:dyDescent="0.45">
      <c r="A60" s="1" t="s">
        <v>13</v>
      </c>
      <c r="B60" s="1" t="s">
        <v>23</v>
      </c>
      <c r="C60" s="1" t="s">
        <v>16</v>
      </c>
      <c r="D60" s="1">
        <v>12431788</v>
      </c>
      <c r="E60" s="1">
        <v>4.0938439426412301E-2</v>
      </c>
      <c r="F60" s="1">
        <v>2.09154145807505E-2</v>
      </c>
      <c r="G60" s="1">
        <v>1.4452868726525901E-2</v>
      </c>
      <c r="H60" s="1">
        <v>0.53510895883777199</v>
      </c>
      <c r="I60" s="1"/>
    </row>
    <row r="61" spans="1:9" x14ac:dyDescent="0.45">
      <c r="A61" s="1" t="s">
        <v>6</v>
      </c>
      <c r="B61" s="1" t="s">
        <v>24</v>
      </c>
      <c r="C61" s="1" t="s">
        <v>21</v>
      </c>
      <c r="D61" s="1">
        <v>12290859.18</v>
      </c>
      <c r="E61" s="1">
        <v>7.47918698389968E-2</v>
      </c>
      <c r="F61" s="1">
        <v>1.5216186050225299E-2</v>
      </c>
      <c r="G61" s="1">
        <v>1.25224768867622E-2</v>
      </c>
      <c r="H61" s="1">
        <v>0.516062884483937</v>
      </c>
      <c r="I61" s="1"/>
    </row>
    <row r="62" spans="1:9" x14ac:dyDescent="0.45">
      <c r="A62" s="1" t="s">
        <v>6</v>
      </c>
      <c r="B62" s="1" t="s">
        <v>7</v>
      </c>
      <c r="C62" s="1" t="s">
        <v>21</v>
      </c>
      <c r="D62" s="1">
        <v>13599697.32</v>
      </c>
      <c r="E62" s="1">
        <v>6.1141801941221397E-3</v>
      </c>
      <c r="F62" s="1">
        <v>1.10737758684176E-3</v>
      </c>
      <c r="G62" s="1">
        <v>8.4244521994993895E-4</v>
      </c>
      <c r="H62" s="1">
        <v>0.47330677290836598</v>
      </c>
      <c r="I62" s="1"/>
    </row>
    <row r="63" spans="1:9" x14ac:dyDescent="0.45">
      <c r="A63" s="1" t="s">
        <v>9</v>
      </c>
      <c r="B63" s="1" t="s">
        <v>26</v>
      </c>
      <c r="C63" s="1" t="s">
        <v>25</v>
      </c>
      <c r="D63" s="1">
        <v>3943107</v>
      </c>
      <c r="E63" s="1">
        <v>0.100652099981055</v>
      </c>
      <c r="F63" s="1">
        <v>3.5667304995781197E-2</v>
      </c>
      <c r="G63" s="1">
        <v>2.3922252173222702E-2</v>
      </c>
      <c r="H63" s="1">
        <v>0.49329359165424702</v>
      </c>
      <c r="I63" s="1"/>
    </row>
    <row r="64" spans="1:9" x14ac:dyDescent="0.45">
      <c r="A64" s="1" t="s">
        <v>9</v>
      </c>
      <c r="B64" s="1" t="s">
        <v>27</v>
      </c>
      <c r="C64" s="1" t="s">
        <v>25</v>
      </c>
      <c r="D64" s="1">
        <v>79403113</v>
      </c>
      <c r="E64" s="1">
        <v>0.36695659287312798</v>
      </c>
      <c r="F64" s="1">
        <v>0.144462645312155</v>
      </c>
      <c r="G64" s="1">
        <v>8.1794552059942502E-2</v>
      </c>
      <c r="H64" s="1">
        <v>0.34686774941995302</v>
      </c>
      <c r="I64" s="1"/>
    </row>
    <row r="65" spans="1:9" x14ac:dyDescent="0.45">
      <c r="A65" s="1" t="s">
        <v>9</v>
      </c>
      <c r="B65" s="1" t="s">
        <v>23</v>
      </c>
      <c r="C65" s="1" t="s">
        <v>10</v>
      </c>
      <c r="D65" s="1">
        <v>8151810</v>
      </c>
      <c r="E65" s="1">
        <v>6.6108263072863493E-2</v>
      </c>
      <c r="F65" s="1">
        <v>2.6491662587817901E-2</v>
      </c>
      <c r="G65" s="1">
        <v>2.1852938181827101E-2</v>
      </c>
      <c r="H65" s="1">
        <v>0.52412101390024501</v>
      </c>
      <c r="I65" s="1"/>
    </row>
    <row r="66" spans="1:9" x14ac:dyDescent="0.45">
      <c r="A66" s="1" t="s">
        <v>9</v>
      </c>
      <c r="B66" s="1" t="s">
        <v>24</v>
      </c>
      <c r="C66" s="1" t="s">
        <v>25</v>
      </c>
      <c r="D66" s="1">
        <v>6219285</v>
      </c>
      <c r="E66" s="1">
        <v>0.12446302107075</v>
      </c>
      <c r="F66" s="1">
        <v>4.2892390363200902E-2</v>
      </c>
      <c r="G66" s="1">
        <v>2.9848516348744199E-2</v>
      </c>
      <c r="H66" s="1">
        <v>0.53391472868217005</v>
      </c>
      <c r="I66" s="1"/>
    </row>
  </sheetData>
  <sortState xmlns:xlrd2="http://schemas.microsoft.com/office/spreadsheetml/2017/richdata2" ref="A2:F66">
    <sortCondition descending="1" ref="D2:D66"/>
  </sortState>
  <phoneticPr fontId="3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calculation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张昀天-Elena</dc:creator>
  <cp:lastModifiedBy>张昀天-Elena</cp:lastModifiedBy>
  <dcterms:created xsi:type="dcterms:W3CDTF">2026-03-20T07:19:09Z</dcterms:created>
  <dcterms:modified xsi:type="dcterms:W3CDTF">2026-03-23T06:00:41Z</dcterms:modified>
</cp:coreProperties>
</file>